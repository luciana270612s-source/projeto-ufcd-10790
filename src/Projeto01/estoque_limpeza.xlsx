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ashboard" sheetId="1" state="visible" r:id="rId1"/>
    <sheet name="Estoque" sheetId="2" state="visible" r:id="rId2"/>
    <sheet name="Movimentos" sheetId="3" state="visible" r:id="rId3"/>
    <sheet name="Listas" sheetId="4" state="visible" r:id="rId4"/>
    <sheet name="Como usar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€ #,##0.00"/>
    <numFmt numFmtId="166" formatCode="yyyy-mm-dd h:mm:ss"/>
  </numFmts>
  <fonts count="8">
    <font>
      <name val="Carlito"/>
      <sz val="11"/>
    </font>
    <font>
      <name val="Carlito"/>
      <b val="1"/>
      <color rgb="00FFFFFF"/>
      <sz val="11"/>
    </font>
    <font>
      <name val="Carlito"/>
      <color rgb="006B7280"/>
      <sz val="11"/>
    </font>
    <font>
      <name val="Carlito"/>
      <b val="1"/>
      <color rgb="00FFFFFF"/>
      <sz val="16"/>
    </font>
    <font>
      <name val="Carlito"/>
      <color rgb="00134E4A"/>
      <sz val="11"/>
    </font>
    <font>
      <name val="Carlito"/>
      <b val="1"/>
      <sz val="11"/>
    </font>
    <font>
      <name val="Carlito"/>
      <b val="1"/>
      <color rgb="00134E4A"/>
      <sz val="11"/>
    </font>
    <font>
      <name val="Carlito"/>
      <b val="1"/>
      <color rgb="00374151"/>
      <sz val="11"/>
    </font>
  </fonts>
  <fills count="1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3F4F6"/>
      </patternFill>
    </fill>
    <fill>
      <patternFill patternType="solid">
        <fgColor rgb="00134E4A"/>
      </patternFill>
    </fill>
    <fill>
      <patternFill patternType="solid">
        <fgColor rgb="00F0FDFA"/>
      </patternFill>
    </fill>
    <fill>
      <patternFill patternType="solid">
        <fgColor rgb="00FFFFFF"/>
      </patternFill>
    </fill>
    <fill>
      <patternFill patternType="solid">
        <fgColor rgb="00CCFBF1"/>
      </patternFill>
    </fill>
    <fill>
      <patternFill patternType="solid">
        <fgColor rgb="00E5E7EB"/>
      </patternFill>
    </fill>
    <fill>
      <patternFill patternType="solid">
        <fgColor rgb="00F3F4F6"/>
      </patternFill>
    </fill>
    <fill>
      <patternFill patternType="solid">
        <fgColor rgb="00E5E7EB"/>
      </patternFill>
    </fill>
    <fill>
      <patternFill patternType="solid">
        <fgColor rgb="00F3F4F6"/>
      </patternFill>
    </fill>
    <fill>
      <patternFill patternType="solid">
        <fgColor rgb="000F766E"/>
      </patternFill>
    </fill>
    <fill>
      <patternFill patternType="solid">
        <fgColor rgb="00F0FDFA"/>
      </patternFill>
    </fill>
  </fills>
  <borders count="2">
    <border/>
    <border/>
  </borders>
  <cellStyleXfs count="1">
    <xf numFmtId="0" fontId="0" fillId="0" borderId="1"/>
  </cellStyleXfs>
  <cellXfs count="11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2" fontId="0" fillId="0" borderId="1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164" fontId="0" fillId="0" borderId="0" pivotButton="0" quotePrefix="0" xfId="0"/>
    <xf numFmtId="164" fontId="0" fillId="0" borderId="1" pivotButton="0" quotePrefix="0" xfId="0"/>
    <xf numFmtId="2" fontId="0" fillId="0" borderId="0" pivotButton="0" quotePrefix="0" xfId="0"/>
    <xf numFmtId="2" fontId="0" fillId="0" borderId="1" pivotButton="0" quotePrefix="0" xfId="0"/>
    <xf numFmtId="165" fontId="0" fillId="0" borderId="0" pivotButton="0" quotePrefix="0" xfId="0"/>
    <xf numFmtId="165" fontId="0" fillId="0" borderId="1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0" fillId="5" borderId="0" pivotButton="0" quotePrefix="0" xfId="0"/>
    <xf numFmtId="0" fontId="4" fillId="5" borderId="0" pivotButton="0" quotePrefix="0" xfId="0"/>
    <xf numFmtId="0" fontId="0" fillId="5" borderId="1" pivotButton="0" quotePrefix="0" xfId="0"/>
    <xf numFmtId="0" fontId="4" fillId="5" borderId="1" pivotButton="0" quotePrefix="0" xfId="0"/>
    <xf numFmtId="0" fontId="0" fillId="6" borderId="0" pivotButton="0" quotePrefix="0" xfId="0"/>
    <xf numFmtId="0" fontId="5" fillId="6" borderId="0" pivotButton="0" quotePrefix="0" xfId="0"/>
    <xf numFmtId="0" fontId="5" fillId="6" borderId="0" applyAlignment="1" pivotButton="0" quotePrefix="0" xfId="0">
      <alignment horizontal="center"/>
    </xf>
    <xf numFmtId="0" fontId="0" fillId="6" borderId="1" pivotButton="0" quotePrefix="0" xfId="0"/>
    <xf numFmtId="0" fontId="5" fillId="6" borderId="1" pivotButton="0" quotePrefix="0" xfId="0"/>
    <xf numFmtId="0" fontId="5" fillId="6" borderId="1" applyAlignment="1" pivotButton="0" quotePrefix="0" xfId="0">
      <alignment horizontal="center"/>
    </xf>
    <xf numFmtId="1" fontId="5" fillId="6" borderId="0" applyAlignment="1" pivotButton="0" quotePrefix="0" xfId="0">
      <alignment horizontal="center"/>
    </xf>
    <xf numFmtId="1" fontId="5" fillId="6" borderId="1" applyAlignment="1" pivotButton="0" quotePrefix="0" xfId="0">
      <alignment horizontal="center"/>
    </xf>
    <xf numFmtId="165" fontId="5" fillId="6" borderId="0" applyAlignment="1" pivotButton="0" quotePrefix="0" xfId="0">
      <alignment horizontal="center"/>
    </xf>
    <xf numFmtId="165" fontId="5" fillId="6" borderId="1" applyAlignment="1" pivotButton="0" quotePrefix="0" xfId="0">
      <alignment horizontal="center"/>
    </xf>
    <xf numFmtId="0" fontId="0" fillId="5" borderId="0" applyAlignment="1" pivotButton="0" quotePrefix="0" xfId="0">
      <alignment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wrapText="1"/>
    </xf>
    <xf numFmtId="0" fontId="0" fillId="5" borderId="1" applyAlignment="1" pivotButton="0" quotePrefix="0" xfId="0">
      <alignment vertical="top" wrapText="1"/>
    </xf>
    <xf numFmtId="0" fontId="0" fillId="7" borderId="0" pivotButton="0" quotePrefix="0" xfId="0"/>
    <xf numFmtId="0" fontId="6" fillId="7" borderId="0" pivotButton="0" quotePrefix="0" xfId="0"/>
    <xf numFmtId="0" fontId="6" fillId="7" borderId="0" applyAlignment="1" pivotButton="0" quotePrefix="0" xfId="0">
      <alignment horizontal="center"/>
    </xf>
    <xf numFmtId="0" fontId="6" fillId="7" borderId="0" applyAlignment="1" pivotButton="0" quotePrefix="0" xfId="0">
      <alignment horizontal="center" vertical="center"/>
    </xf>
    <xf numFmtId="0" fontId="0" fillId="7" borderId="1" pivotButton="0" quotePrefix="0" xfId="0"/>
    <xf numFmtId="0" fontId="6" fillId="7" borderId="1" pivotButton="0" quotePrefix="0" xfId="0"/>
    <xf numFmtId="0" fontId="6" fillId="7" borderId="1" applyAlignment="1" pivotButton="0" quotePrefix="0" xfId="0">
      <alignment horizontal="center"/>
    </xf>
    <xf numFmtId="0" fontId="6" fillId="7" borderId="1" applyAlignment="1" pivotButton="0" quotePrefix="0" xfId="0">
      <alignment horizontal="center" vertical="center"/>
    </xf>
    <xf numFmtId="0" fontId="4" fillId="5" borderId="0" applyAlignment="1" pivotButton="0" quotePrefix="0" xfId="0">
      <alignment wrapText="1"/>
    </xf>
    <xf numFmtId="1" fontId="5" fillId="6" borderId="0" applyAlignment="1" pivotButton="0" quotePrefix="0" xfId="0">
      <alignment horizontal="center" wrapText="1"/>
    </xf>
    <xf numFmtId="165" fontId="5" fillId="6" borderId="0" applyAlignment="1" pivotButton="0" quotePrefix="0" xfId="0">
      <alignment horizontal="center" wrapText="1"/>
    </xf>
    <xf numFmtId="0" fontId="6" fillId="7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wrapText="1"/>
    </xf>
    <xf numFmtId="1" fontId="5" fillId="6" borderId="1" applyAlignment="1" pivotButton="0" quotePrefix="0" xfId="0">
      <alignment horizontal="center" wrapText="1"/>
    </xf>
    <xf numFmtId="165" fontId="5" fillId="6" borderId="1" applyAlignment="1" pivotButton="0" quotePrefix="0" xfId="0">
      <alignment horizontal="center" wrapText="1"/>
    </xf>
    <xf numFmtId="0" fontId="6" fillId="7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4" fillId="5" borderId="0" applyAlignment="1" pivotButton="0" quotePrefix="0" xfId="0">
      <alignment vertical="center" wrapText="1"/>
    </xf>
    <xf numFmtId="1" fontId="5" fillId="6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vertical="center" wrapText="1"/>
    </xf>
    <xf numFmtId="165" fontId="5" fillId="6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1" fontId="5" fillId="6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center" wrapText="1"/>
    </xf>
    <xf numFmtId="165" fontId="5" fillId="6" borderId="1" applyAlignment="1" pivotButton="0" quotePrefix="0" xfId="0">
      <alignment horizontal="center" vertical="center" wrapText="1"/>
    </xf>
    <xf numFmtId="2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2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4" fontId="0" fillId="0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0" borderId="0" pivotButton="0" quotePrefix="0" xfId="0"/>
    <xf numFmtId="0" fontId="0" fillId="8" borderId="0" pivotButton="0" quotePrefix="0" xfId="0"/>
    <xf numFmtId="0" fontId="7" fillId="8" borderId="0" pivotButton="0" quotePrefix="0" xfId="0"/>
    <xf numFmtId="0" fontId="7" fillId="8" borderId="0" applyAlignment="1" pivotButton="0" quotePrefix="0" xfId="0">
      <alignment horizontal="center"/>
    </xf>
    <xf numFmtId="0" fontId="0" fillId="9" borderId="0" pivotButton="0" quotePrefix="0" xfId="0"/>
    <xf numFmtId="0" fontId="2" fillId="9" borderId="0" pivotButton="0" quotePrefix="0" xfId="0"/>
    <xf numFmtId="0" fontId="7" fillId="10" borderId="0" applyAlignment="1" pivotButton="0" quotePrefix="0" xfId="0">
      <alignment horizontal="center"/>
    </xf>
    <xf numFmtId="0" fontId="0" fillId="10" borderId="0" pivotButton="0" quotePrefix="0" xfId="0"/>
    <xf numFmtId="0" fontId="7" fillId="10" borderId="0" pivotButton="0" quotePrefix="0" xfId="0"/>
    <xf numFmtId="0" fontId="2" fillId="11" borderId="0" pivotButton="0" quotePrefix="0" xfId="0"/>
    <xf numFmtId="0" fontId="0" fillId="11" borderId="0" pivotButton="0" quotePrefix="0" xfId="0"/>
    <xf numFmtId="0" fontId="1" fillId="12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top" wrapText="1"/>
    </xf>
    <xf numFmtId="1" fontId="5" fillId="6" borderId="0" applyAlignment="1" pivotButton="0" quotePrefix="0" xfId="0">
      <alignment horizontal="center" vertical="center" wrapText="1"/>
    </xf>
    <xf numFmtId="165" fontId="5" fillId="6" borderId="0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top" wrapText="1"/>
    </xf>
    <xf numFmtId="2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pivotButton="0" quotePrefix="0" xfId="0"/>
  </cellXfs>
  <cellStyles count="1">
    <cellStyle name="Normal" xfId="0"/>
  </cellStyles>
  <dxfs count="6">
    <dxf>
      <font>
        <b val="1"/>
        <color rgb="007F1D1D"/>
      </font>
      <fill>
        <patternFill>
          <bgColor rgb="00FCA5A5"/>
        </patternFill>
      </fill>
    </dxf>
    <dxf>
      <font>
        <b val="1"/>
        <color rgb="0014532D"/>
      </font>
      <fill>
        <patternFill>
          <bgColor rgb="00BBF7D0"/>
        </patternFill>
      </fill>
    </dxf>
    <dxf>
      <font>
        <color rgb="00991B1B"/>
      </font>
      <fill>
        <patternFill>
          <bgColor rgb="00FEE2E2"/>
        </patternFill>
      </fill>
    </dxf>
    <dxf>
      <fill>
        <patternFill>
          <bgColor rgb="00DCFCE7"/>
        </patternFill>
      </fill>
    </dxf>
    <dxf>
      <fill>
        <patternFill>
          <bgColor rgb="00FEF3C7"/>
        </patternFill>
      </fill>
    </dxf>
    <dxf>
      <font>
        <b val="1"/>
        <color rgb="007F1D1D"/>
      </font>
      <fill>
        <patternFill>
          <bgColor rgb="00FCA5A5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Produtos</v>
          </tx>
          <spPr>
            <a:ln>
              <a:prstDash val="solid"/>
            </a:ln>
          </spPr>
          <cat>
            <strRef>
              <f>'Dashboard'!$A$13:$A$29</f>
              <strCache>
                <ptCount val="0"/>
              </strCache>
            </strRef>
          </cat>
          <val>
            <numRef>
              <f>'Dashboard'!$B$13:$B$29</f>
              <numCach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" sourceLinked="0"/>
        <majorTickMark val="none"/>
        <minorTickMark val="none"/>
        <crossAx val="48650112"/>
        <crosses val="autoZero"/>
        <crossBetween val="between"/>
      </valAx>
    </plotArea>
    <legend>
      <legendPos val="b"/>
      <overlay val="0"/>
    </legend>
    <plotVisOnly val="1"/>
    <dispBlanksAs val="gap"/>
  </chart>
  <spPr>
    <a:ln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0</colOff>
      <row>32</row>
      <rowOff>0</rowOff>
    </from>
    <to>
      <col>8</col>
      <colOff>0</colOff>
      <row>49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abelaEstoque" displayName="TabelaEstoque" ref="A1:L121" headerRowCount="1">
  <tableColumns count="12">
    <tableColumn id="1" name="Código"/>
    <tableColumn id="2" name="Produto"/>
    <tableColumn id="3" name="Categoria"/>
    <tableColumn id="4" name="Unidade"/>
    <tableColumn id="5" name="Estoque Inicial"/>
    <tableColumn id="6" name="Entradas"/>
    <tableColumn id="7" name="Saídas"/>
    <tableColumn id="8" name="Estoque Atual"/>
    <tableColumn id="9" name="Estoque Mínimo"/>
    <tableColumn id="10" name="Comprar?"/>
    <tableColumn id="11" name="Última Compra"/>
    <tableColumn id="12" name="Observações"/>
  </tableColumns>
  <tableStyleInfo name="TableStyleMedium2" showRowStripes="1"/>
</table>
</file>

<file path=xl/tables/table2.xml><?xml version="1.0" encoding="utf-8"?>
<table xmlns="http://schemas.openxmlformats.org/spreadsheetml/2006/main" id="2" name="TabelaMovimentos" displayName="TabelaMovimentos" ref="A1:J121" headerRowCount="1">
  <tableColumns count="10">
    <tableColumn id="1" name="Data"/>
    <tableColumn id="2" name="Código"/>
    <tableColumn id="3" name="Produto"/>
    <tableColumn id="4" name="Tipo"/>
    <tableColumn id="5" name="Quantidade"/>
    <tableColumn id="6" name="Responsável"/>
    <tableColumn id="7" name="Preço Unit."/>
    <tableColumn id="8" name="Total Compra"/>
    <tableColumn id="9" name="Observação"/>
    <tableColumn id="10" name="Chave sistema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"/>
  <sheetViews>
    <sheetView workbookViewId="0">
      <selection activeCell="A1" sqref="A1"/>
    </sheetView>
  </sheetViews>
  <sheetFormatPr baseColWidth="8" defaultRowHeight="15"/>
  <cols>
    <col width="28" customWidth="1" style="94" min="1" max="1"/>
    <col width="16" customWidth="1" style="94" min="2" max="2"/>
    <col width="16" customWidth="1" style="94" min="3" max="3"/>
    <col width="12" customWidth="1" style="94" min="4" max="4"/>
    <col width="25" customWidth="1" style="94" min="5" max="5"/>
    <col width="12" customWidth="1" style="94" min="6" max="6"/>
    <col width="12" customWidth="1" style="94" min="7" max="7"/>
    <col width="13" customWidth="1" style="94" min="8" max="8"/>
  </cols>
  <sheetData>
    <row r="1" ht="30" customHeight="1" s="94">
      <c r="A1" s="35" t="inlineStr">
        <is>
          <t>Controle de Estoque - Produtos de Limpeza</t>
        </is>
      </c>
      <c r="B1" s="1" t="n"/>
      <c r="C1" s="1" t="n"/>
      <c r="D1" s="1" t="n"/>
      <c r="E1" s="1" t="n"/>
      <c r="F1" s="1" t="n"/>
      <c r="G1" s="1" t="n"/>
      <c r="H1" s="1" t="n"/>
      <c r="I1" s="70" t="n"/>
      <c r="J1" s="70" t="n"/>
      <c r="K1" s="70" t="n"/>
      <c r="L1" s="70" t="n"/>
    </row>
    <row r="2">
      <c r="A2" s="70" t="n"/>
      <c r="B2" s="70" t="n"/>
      <c r="C2" s="70" t="n"/>
      <c r="D2" s="70" t="n"/>
      <c r="E2" s="70" t="n"/>
      <c r="F2" s="70" t="n"/>
      <c r="G2" s="70" t="n"/>
      <c r="H2" s="70" t="n"/>
      <c r="I2" s="70" t="n"/>
      <c r="J2" s="70" t="n"/>
      <c r="K2" s="70" t="n"/>
      <c r="L2" s="70" t="n"/>
    </row>
    <row r="3">
      <c r="A3" s="6" t="inlineStr">
        <is>
          <t>Indicador</t>
        </is>
      </c>
      <c r="B3" s="6" t="inlineStr">
        <is>
          <t>Valor</t>
        </is>
      </c>
      <c r="C3" s="71" t="n"/>
      <c r="D3" s="11" t="inlineStr">
        <is>
          <t>Como controlar compras e retiradas</t>
        </is>
      </c>
      <c r="E3" s="1" t="n"/>
      <c r="F3" s="1" t="n"/>
      <c r="G3" s="1" t="n"/>
      <c r="H3" s="1" t="n"/>
      <c r="I3" s="70" t="n"/>
      <c r="J3" s="70" t="n"/>
      <c r="K3" s="70" t="n"/>
      <c r="L3" s="70" t="n"/>
    </row>
    <row r="4">
      <c r="A4" s="72" t="inlineStr">
        <is>
          <t>Total de produtos cadastrados</t>
        </is>
      </c>
      <c r="B4" s="108">
        <f>COUNTA(Estoque!$A$2:$A$121)</f>
        <v/>
      </c>
      <c r="C4" s="71" t="n"/>
      <c r="D4" s="80" t="inlineStr">
        <is>
          <t>Use a aba Movimentos para registrar cada compra ou retirada. O estoque atual e o alerta COMPRAR são atualizados automaticamente na aba Estoque. Na coluna Última Compra, pode preencher a data manualmente quando quiser.</t>
        </is>
      </c>
      <c r="E4" s="1" t="n"/>
      <c r="F4" s="1" t="n"/>
      <c r="G4" s="1" t="n"/>
      <c r="H4" s="1" t="n"/>
      <c r="I4" s="70" t="n"/>
      <c r="J4" s="70" t="n"/>
      <c r="K4" s="70" t="n"/>
      <c r="L4" s="70" t="n"/>
    </row>
    <row r="5">
      <c r="A5" s="72" t="inlineStr">
        <is>
          <t>Produtos para comprar</t>
        </is>
      </c>
      <c r="B5" s="108">
        <f>COUNTIF(Estoque!$J$2:$J$121,"COMPRAR")</f>
        <v/>
      </c>
      <c r="C5" s="71" t="n"/>
      <c r="D5" s="1" t="n"/>
      <c r="H5" s="1" t="n"/>
      <c r="I5" s="70" t="n"/>
      <c r="J5" s="70" t="n"/>
      <c r="K5" s="70" t="n"/>
      <c r="L5" s="70" t="n"/>
    </row>
    <row r="6">
      <c r="A6" s="72" t="inlineStr">
        <is>
          <t>Total de entradas</t>
        </is>
      </c>
      <c r="B6" s="108">
        <f>SUM(Estoque!$F$2:$F$121)</f>
        <v/>
      </c>
      <c r="C6" s="71" t="n"/>
      <c r="D6" s="1" t="n"/>
      <c r="H6" s="1" t="n"/>
      <c r="I6" s="70" t="n"/>
      <c r="J6" s="70" t="n"/>
      <c r="K6" s="70" t="n"/>
      <c r="L6" s="70" t="n"/>
    </row>
    <row r="7">
      <c r="A7" s="72" t="inlineStr">
        <is>
          <t>Total de saídas</t>
        </is>
      </c>
      <c r="B7" s="108">
        <f>SUM(Estoque!$G$2:$G$121)</f>
        <v/>
      </c>
      <c r="C7" s="71" t="n"/>
      <c r="D7" s="1" t="n"/>
      <c r="H7" s="1" t="n"/>
      <c r="I7" s="70" t="n"/>
      <c r="J7" s="70" t="n"/>
      <c r="K7" s="70" t="n"/>
      <c r="L7" s="70" t="n"/>
    </row>
    <row r="8">
      <c r="A8" s="72" t="inlineStr">
        <is>
          <t>Gasto total em compras</t>
        </is>
      </c>
      <c r="B8" s="109">
        <f>SUM(Movimentos!$H$2:$H$121)</f>
        <v/>
      </c>
      <c r="C8" s="71" t="n"/>
      <c r="D8" s="1" t="n"/>
      <c r="E8" s="1" t="n"/>
      <c r="F8" s="1" t="n"/>
      <c r="G8" s="1" t="n"/>
      <c r="H8" s="1" t="n"/>
      <c r="I8" s="70" t="n"/>
      <c r="J8" s="70" t="n"/>
      <c r="K8" s="70" t="n"/>
      <c r="L8" s="70" t="n"/>
    </row>
    <row r="9">
      <c r="A9" s="71" t="n"/>
      <c r="B9" s="71" t="n"/>
      <c r="C9" s="71" t="n"/>
      <c r="D9" s="71" t="n"/>
      <c r="E9" s="71" t="n"/>
      <c r="F9" s="71" t="n"/>
      <c r="G9" s="71" t="n"/>
      <c r="H9" s="71" t="n"/>
      <c r="I9" s="70" t="n"/>
      <c r="J9" s="70" t="n"/>
      <c r="K9" s="70" t="n"/>
      <c r="L9" s="70" t="n"/>
    </row>
    <row r="10">
      <c r="A10" s="71" t="n"/>
      <c r="B10" s="71" t="n"/>
      <c r="C10" s="71" t="n"/>
      <c r="D10" s="71" t="n"/>
      <c r="E10" s="71" t="n"/>
      <c r="F10" s="71" t="n"/>
      <c r="G10" s="71" t="n"/>
      <c r="H10" s="71" t="n"/>
      <c r="I10" s="70" t="n"/>
      <c r="J10" s="70" t="n"/>
      <c r="K10" s="70" t="n"/>
      <c r="L10" s="70" t="n"/>
    </row>
    <row r="11">
      <c r="A11" s="11" t="inlineStr">
        <is>
          <t>Resumo por categoria</t>
        </is>
      </c>
      <c r="B11" s="1" t="n"/>
      <c r="C11" s="1" t="n"/>
      <c r="D11" s="110" t="inlineStr">
        <is>
          <t>Como ver a lista de compras</t>
        </is>
      </c>
      <c r="E11" s="1" t="n"/>
      <c r="F11" s="1" t="n"/>
      <c r="G11" s="1" t="n"/>
      <c r="H11" s="1" t="n"/>
      <c r="I11" s="70" t="n"/>
      <c r="J11" s="70" t="n"/>
      <c r="K11" s="70" t="n"/>
      <c r="L11" s="70" t="n"/>
    </row>
    <row r="12">
      <c r="A12" s="65" t="inlineStr">
        <is>
          <t>Categoria</t>
        </is>
      </c>
      <c r="B12" s="65" t="inlineStr">
        <is>
          <t>Produtos</t>
        </is>
      </c>
      <c r="C12" s="65" t="inlineStr">
        <is>
          <t>Para comprar</t>
        </is>
      </c>
      <c r="D12" s="111" t="inlineStr">
        <is>
          <t>Na aba Estoque, filtre a coluna Comprar? e selecione COMPRAR. Assim aparecem todos os produtos abaixo ou iguais ao estoque mínimo. O número total de itens para comprar aparece no indicador “Produtos para comprar”.</t>
        </is>
      </c>
      <c r="E12" s="1" t="n"/>
      <c r="F12" s="1" t="n"/>
      <c r="G12" s="1" t="n"/>
      <c r="H12" s="1" t="n"/>
      <c r="I12" s="70" t="n"/>
      <c r="J12" s="70" t="n"/>
      <c r="K12" s="70" t="n"/>
      <c r="L12" s="70" t="n"/>
    </row>
    <row r="13">
      <c r="A13" s="71" t="inlineStr">
        <is>
          <t>Desinfetante</t>
        </is>
      </c>
      <c r="B13" s="71">
        <f>COUNTIF(Estoque!$C$2:$C$121,A13)</f>
        <v/>
      </c>
      <c r="C13" s="71">
        <f>COUNTIFS(Estoque!$C$2:$C$121,A13,Estoque!$J$2:$J$121,"COMPRAR")</f>
        <v/>
      </c>
      <c r="D13" s="1" t="n"/>
      <c r="H13" s="1" t="n"/>
      <c r="I13" s="70" t="n"/>
      <c r="J13" s="70" t="n"/>
      <c r="K13" s="70" t="n"/>
      <c r="L13" s="70" t="n"/>
    </row>
    <row r="14">
      <c r="A14" s="71" t="inlineStr">
        <is>
          <t>Detergente</t>
        </is>
      </c>
      <c r="B14" s="71">
        <f>COUNTIF(Estoque!$C$2:$C$121,A14)</f>
        <v/>
      </c>
      <c r="C14" s="71">
        <f>COUNTIFS(Estoque!$C$2:$C$121,A14,Estoque!$J$2:$J$121,"COMPRAR")</f>
        <v/>
      </c>
      <c r="D14" s="1" t="n"/>
      <c r="H14" s="1" t="n"/>
      <c r="I14" s="70" t="n"/>
      <c r="J14" s="70" t="n"/>
      <c r="K14" s="70" t="n"/>
      <c r="L14" s="70" t="n"/>
    </row>
    <row r="15">
      <c r="A15" s="71" t="inlineStr">
        <is>
          <t>Desengordurante</t>
        </is>
      </c>
      <c r="B15" s="71">
        <f>COUNTIF(Estoque!$C$2:$C$121,A15)</f>
        <v/>
      </c>
      <c r="C15" s="71">
        <f>COUNTIFS(Estoque!$C$2:$C$121,A15,Estoque!$J$2:$J$121,"COMPRAR")</f>
        <v/>
      </c>
      <c r="D15" s="1" t="n"/>
      <c r="H15" s="1" t="n"/>
      <c r="I15" s="70" t="n"/>
      <c r="J15" s="70" t="n"/>
      <c r="K15" s="70" t="n"/>
      <c r="L15" s="70" t="n"/>
    </row>
    <row r="16">
      <c r="A16" s="71" t="inlineStr">
        <is>
          <t>Álcool</t>
        </is>
      </c>
      <c r="B16" s="71">
        <f>COUNTIF(Estoque!$C$2:$C$121,A16)</f>
        <v/>
      </c>
      <c r="C16" s="71">
        <f>COUNTIFS(Estoque!$C$2:$C$121,A16,Estoque!$J$2:$J$121,"COMPRAR")</f>
        <v/>
      </c>
      <c r="D16" s="1" t="n"/>
      <c r="H16" s="1" t="n"/>
      <c r="I16" s="70" t="n"/>
      <c r="J16" s="70" t="n"/>
      <c r="K16" s="70" t="n"/>
      <c r="L16" s="70" t="n"/>
    </row>
    <row r="17">
      <c r="A17" s="71" t="inlineStr">
        <is>
          <t>Lava-roupas</t>
        </is>
      </c>
      <c r="B17" s="71">
        <f>COUNTIF(Estoque!$C$2:$C$121,A17)</f>
        <v/>
      </c>
      <c r="C17" s="71">
        <f>COUNTIFS(Estoque!$C$2:$C$121,A17,Estoque!$J$2:$J$121,"COMPRAR")</f>
        <v/>
      </c>
      <c r="D17" s="1" t="n"/>
      <c r="E17" s="1" t="n"/>
      <c r="F17" s="1" t="n"/>
      <c r="G17" s="1" t="n"/>
      <c r="H17" s="1" t="n"/>
      <c r="I17" s="70" t="n"/>
      <c r="J17" s="70" t="n"/>
      <c r="K17" s="70" t="n"/>
      <c r="L17" s="70" t="n"/>
    </row>
    <row r="18">
      <c r="A18" s="71" t="inlineStr">
        <is>
          <t>Amaciante</t>
        </is>
      </c>
      <c r="B18" s="71">
        <f>COUNTIF(Estoque!$C$2:$C$121,A18)</f>
        <v/>
      </c>
      <c r="C18" s="71">
        <f>COUNTIFS(Estoque!$C$2:$C$121,A18,Estoque!$J$2:$J$121,"COMPRAR")</f>
        <v/>
      </c>
      <c r="D18" s="71" t="n"/>
      <c r="E18" s="71" t="n"/>
      <c r="F18" s="71" t="n"/>
      <c r="G18" s="71" t="n"/>
      <c r="H18" s="71" t="n"/>
      <c r="I18" s="70" t="n"/>
      <c r="J18" s="70" t="n"/>
      <c r="K18" s="70" t="n"/>
      <c r="L18" s="70" t="n"/>
    </row>
    <row r="19">
      <c r="A19" s="71" t="inlineStr">
        <is>
          <t>Cloro/Água sanitária</t>
        </is>
      </c>
      <c r="B19" s="71">
        <f>COUNTIF(Estoque!$C$2:$C$121,A19)</f>
        <v/>
      </c>
      <c r="C19" s="71">
        <f>COUNTIFS(Estoque!$C$2:$C$121,A19,Estoque!$J$2:$J$121,"COMPRAR")</f>
        <v/>
      </c>
      <c r="D19" s="71" t="n"/>
      <c r="E19" s="71" t="n"/>
      <c r="F19" s="71" t="n"/>
      <c r="G19" s="71" t="n"/>
      <c r="H19" s="71" t="n"/>
      <c r="I19" s="70" t="n"/>
      <c r="J19" s="70" t="n"/>
      <c r="K19" s="70" t="n"/>
      <c r="L19" s="70" t="n"/>
    </row>
    <row r="20">
      <c r="A20" s="71" t="inlineStr">
        <is>
          <t>Multiuso</t>
        </is>
      </c>
      <c r="B20" s="71">
        <f>COUNTIF(Estoque!$C$2:$C$121,A20)</f>
        <v/>
      </c>
      <c r="C20" s="71">
        <f>COUNTIFS(Estoque!$C$2:$C$121,A20,Estoque!$J$2:$J$121,"COMPRAR")</f>
        <v/>
      </c>
      <c r="D20" s="71" t="n"/>
      <c r="E20" s="71" t="n"/>
      <c r="F20" s="71" t="n"/>
      <c r="G20" s="71" t="n"/>
      <c r="H20" s="71" t="n"/>
      <c r="I20" s="70" t="n"/>
      <c r="J20" s="70" t="n"/>
      <c r="K20" s="70" t="n"/>
      <c r="L20" s="70" t="n"/>
    </row>
    <row r="21">
      <c r="A21" s="71" t="inlineStr">
        <is>
          <t>Limpa-vidros</t>
        </is>
      </c>
      <c r="B21" s="71">
        <f>COUNTIF(Estoque!$C$2:$C$121,A21)</f>
        <v/>
      </c>
      <c r="C21" s="71">
        <f>COUNTIFS(Estoque!$C$2:$C$121,A21,Estoque!$J$2:$J$121,"COMPRAR")</f>
        <v/>
      </c>
      <c r="D21" s="71" t="n"/>
      <c r="E21" s="71" t="n"/>
      <c r="F21" s="71" t="n"/>
      <c r="G21" s="71" t="n"/>
      <c r="H21" s="71" t="n"/>
      <c r="I21" s="70" t="n"/>
      <c r="J21" s="70" t="n"/>
      <c r="K21" s="70" t="n"/>
      <c r="L21" s="70" t="n"/>
    </row>
    <row r="22">
      <c r="A22" s="71" t="inlineStr">
        <is>
          <t>Cera/Polidor</t>
        </is>
      </c>
      <c r="B22" s="71">
        <f>COUNTIF(Estoque!$C$2:$C$121,A22)</f>
        <v/>
      </c>
      <c r="C22" s="71">
        <f>COUNTIFS(Estoque!$C$2:$C$121,A22,Estoque!$J$2:$J$121,"COMPRAR")</f>
        <v/>
      </c>
      <c r="D22" s="71" t="n"/>
      <c r="E22" s="71" t="n"/>
      <c r="F22" s="71" t="n"/>
      <c r="G22" s="71" t="n"/>
      <c r="H22" s="71" t="n"/>
      <c r="I22" s="70" t="n"/>
      <c r="J22" s="70" t="n"/>
      <c r="K22" s="70" t="n"/>
      <c r="L22" s="70" t="n"/>
    </row>
    <row r="23">
      <c r="A23" s="71" t="inlineStr">
        <is>
          <t>Aromatizador</t>
        </is>
      </c>
      <c r="B23" s="71">
        <f>COUNTIF(Estoque!$C$2:$C$121,A23)</f>
        <v/>
      </c>
      <c r="C23" s="71">
        <f>COUNTIFS(Estoque!$C$2:$C$121,A23,Estoque!$J$2:$J$121,"COMPRAR")</f>
        <v/>
      </c>
      <c r="D23" s="71" t="n"/>
      <c r="E23" s="71" t="n"/>
      <c r="F23" s="71" t="n"/>
      <c r="G23" s="71" t="n"/>
      <c r="H23" s="71" t="n"/>
      <c r="I23" s="70" t="n"/>
      <c r="J23" s="70" t="n"/>
      <c r="K23" s="70" t="n"/>
      <c r="L23" s="70" t="n"/>
    </row>
    <row r="24">
      <c r="A24" s="71" t="inlineStr">
        <is>
          <t>Material descartável</t>
        </is>
      </c>
      <c r="B24" s="71">
        <f>COUNTIF(Estoque!$C$2:$C$121,A24)</f>
        <v/>
      </c>
      <c r="C24" s="71">
        <f>COUNTIFS(Estoque!$C$2:$C$121,A24,Estoque!$J$2:$J$121,"COMPRAR")</f>
        <v/>
      </c>
      <c r="D24" s="71" t="n"/>
      <c r="E24" s="71" t="n"/>
      <c r="F24" s="71" t="n"/>
      <c r="G24" s="71" t="n"/>
      <c r="H24" s="71" t="n"/>
      <c r="I24" s="70" t="n"/>
      <c r="J24" s="70" t="n"/>
      <c r="K24" s="70" t="n"/>
      <c r="L24" s="70" t="n"/>
    </row>
    <row r="25">
      <c r="A25" s="71" t="inlineStr">
        <is>
          <t>EPI</t>
        </is>
      </c>
      <c r="B25" s="71">
        <f>COUNTIF(Estoque!$C$2:$C$121,A25)</f>
        <v/>
      </c>
      <c r="C25" s="71">
        <f>COUNTIFS(Estoque!$C$2:$C$121,A25,Estoque!$J$2:$J$121,"COMPRAR")</f>
        <v/>
      </c>
      <c r="D25" s="71" t="n"/>
      <c r="E25" s="71" t="n"/>
      <c r="F25" s="71" t="n"/>
      <c r="G25" s="71" t="n"/>
      <c r="H25" s="71" t="n"/>
      <c r="I25" s="70" t="n"/>
      <c r="J25" s="70" t="n"/>
      <c r="K25" s="70" t="n"/>
      <c r="L25" s="70" t="n"/>
    </row>
    <row r="26">
      <c r="A26" s="71" t="inlineStr">
        <is>
          <t>Acessórios</t>
        </is>
      </c>
      <c r="B26" s="71">
        <f>COUNTIF(Estoque!$C$2:$C$121,A26)</f>
        <v/>
      </c>
      <c r="C26" s="71">
        <f>COUNTIFS(Estoque!$C$2:$C$121,A26,Estoque!$J$2:$J$121,"COMPRAR")</f>
        <v/>
      </c>
      <c r="D26" s="71" t="n"/>
      <c r="E26" s="71" t="n"/>
      <c r="F26" s="71" t="n"/>
      <c r="G26" s="71" t="n"/>
      <c r="H26" s="71" t="n"/>
      <c r="I26" s="70" t="n"/>
      <c r="J26" s="70" t="n"/>
      <c r="K26" s="70" t="n"/>
      <c r="L26" s="70" t="n"/>
    </row>
    <row r="27">
      <c r="A27" s="71" t="inlineStr">
        <is>
          <t>Panos/Esponjas</t>
        </is>
      </c>
      <c r="B27" s="71">
        <f>COUNTIF(Estoque!$C$2:$C$121,A27)</f>
        <v/>
      </c>
      <c r="C27" s="71">
        <f>COUNTIFS(Estoque!$C$2:$C$121,A27,Estoque!$J$2:$J$121,"COMPRAR")</f>
        <v/>
      </c>
      <c r="D27" s="71" t="n"/>
      <c r="E27" s="71" t="n"/>
      <c r="F27" s="71" t="n"/>
      <c r="G27" s="71" t="n"/>
      <c r="H27" s="71" t="n"/>
      <c r="I27" s="70" t="n"/>
      <c r="J27" s="70" t="n"/>
      <c r="K27" s="70" t="n"/>
      <c r="L27" s="70" t="n"/>
    </row>
    <row r="28">
      <c r="A28" s="71" t="inlineStr">
        <is>
          <t>Sacos de lixo</t>
        </is>
      </c>
      <c r="B28" s="71">
        <f>COUNTIF(Estoque!$C$2:$C$121,A28)</f>
        <v/>
      </c>
      <c r="C28" s="71">
        <f>COUNTIFS(Estoque!$C$2:$C$121,A28,Estoque!$J$2:$J$121,"COMPRAR")</f>
        <v/>
      </c>
      <c r="D28" s="71" t="n"/>
      <c r="E28" s="71" t="n"/>
      <c r="F28" s="71" t="n"/>
      <c r="G28" s="71" t="n"/>
      <c r="H28" s="71" t="n"/>
      <c r="I28" s="70" t="n"/>
      <c r="J28" s="70" t="n"/>
      <c r="K28" s="70" t="n"/>
      <c r="L28" s="70" t="n"/>
    </row>
    <row r="29">
      <c r="A29" s="71" t="inlineStr">
        <is>
          <t>Outros</t>
        </is>
      </c>
      <c r="B29" s="71">
        <f>COUNTIF(Estoque!$C$2:$C$121,A29)</f>
        <v/>
      </c>
      <c r="C29" s="71">
        <f>COUNTIFS(Estoque!$C$2:$C$121,A29,Estoque!$J$2:$J$121,"COMPRAR")</f>
        <v/>
      </c>
      <c r="D29" s="71" t="n"/>
      <c r="E29" s="71" t="n"/>
      <c r="F29" s="71" t="n"/>
      <c r="G29" s="71" t="n"/>
      <c r="H29" s="71" t="n"/>
      <c r="I29" s="70" t="n"/>
      <c r="J29" s="70" t="n"/>
      <c r="K29" s="70" t="n"/>
      <c r="L29" s="70" t="n"/>
    </row>
    <row r="30">
      <c r="A30" s="71" t="n"/>
      <c r="B30" s="71" t="n"/>
      <c r="C30" s="71" t="n"/>
      <c r="D30" s="71" t="n"/>
      <c r="E30" s="71" t="n"/>
      <c r="F30" s="71" t="n"/>
      <c r="G30" s="71" t="n"/>
      <c r="H30" s="71" t="n"/>
      <c r="I30" s="70" t="n"/>
      <c r="J30" s="70" t="n"/>
      <c r="K30" s="70" t="n"/>
      <c r="L30" s="70" t="n"/>
    </row>
    <row r="31">
      <c r="A31" s="71" t="n"/>
      <c r="B31" s="71" t="n"/>
      <c r="C31" s="71" t="n"/>
      <c r="D31" s="71" t="n"/>
      <c r="E31" s="71" t="n"/>
      <c r="F31" s="71" t="n"/>
      <c r="G31" s="71" t="n"/>
      <c r="H31" s="71" t="n"/>
      <c r="I31" s="70" t="n"/>
      <c r="J31" s="70" t="n"/>
      <c r="K31" s="70" t="n"/>
      <c r="L31" s="70" t="n"/>
    </row>
    <row r="32">
      <c r="A32" s="71" t="n"/>
      <c r="B32" s="71" t="n"/>
      <c r="C32" s="71" t="n"/>
      <c r="D32" s="71" t="n"/>
      <c r="E32" s="71" t="n"/>
      <c r="F32" s="71" t="n"/>
      <c r="G32" s="71" t="n"/>
      <c r="H32" s="71" t="n"/>
      <c r="I32" s="70" t="n"/>
      <c r="J32" s="70" t="n"/>
      <c r="K32" s="70" t="n"/>
      <c r="L32" s="70" t="n"/>
    </row>
    <row r="33">
      <c r="A33" s="71" t="n"/>
      <c r="B33" s="71" t="n"/>
      <c r="C33" s="71" t="n"/>
      <c r="D33" s="71" t="n"/>
      <c r="E33" s="71" t="n"/>
      <c r="F33" s="71" t="n"/>
      <c r="G33" s="71" t="n"/>
      <c r="H33" s="71" t="n"/>
      <c r="I33" s="70" t="n"/>
      <c r="J33" s="70" t="n"/>
      <c r="K33" s="70" t="n"/>
      <c r="L33" s="70" t="n"/>
    </row>
    <row r="34">
      <c r="A34" s="71" t="n"/>
      <c r="B34" s="71" t="n"/>
      <c r="C34" s="71" t="n"/>
      <c r="D34" s="71" t="n"/>
      <c r="E34" s="71" t="n"/>
      <c r="F34" s="71" t="n"/>
      <c r="G34" s="71" t="n"/>
      <c r="H34" s="71" t="n"/>
      <c r="I34" s="70" t="n"/>
      <c r="J34" s="70" t="n"/>
      <c r="K34" s="70" t="n"/>
      <c r="L34" s="70" t="n"/>
    </row>
    <row r="35">
      <c r="A35" s="71" t="n"/>
      <c r="B35" s="71" t="n"/>
      <c r="C35" s="71" t="n"/>
      <c r="D35" s="71" t="n"/>
      <c r="E35" s="71" t="n"/>
      <c r="F35" s="71" t="n"/>
      <c r="G35" s="71" t="n"/>
      <c r="H35" s="71" t="n"/>
      <c r="I35" s="70" t="n"/>
      <c r="J35" s="70" t="n"/>
      <c r="K35" s="70" t="n"/>
      <c r="L35" s="70" t="n"/>
    </row>
    <row r="36">
      <c r="A36" s="71" t="n"/>
      <c r="B36" s="71" t="n"/>
      <c r="C36" s="71" t="n"/>
      <c r="D36" s="71" t="n"/>
      <c r="E36" s="71" t="n"/>
      <c r="F36" s="71" t="n"/>
      <c r="G36" s="71" t="n"/>
      <c r="H36" s="71" t="n"/>
      <c r="I36" s="70" t="n"/>
      <c r="J36" s="70" t="n"/>
      <c r="K36" s="70" t="n"/>
      <c r="L36" s="70" t="n"/>
    </row>
    <row r="37">
      <c r="A37" s="71" t="n"/>
      <c r="B37" s="71" t="n"/>
      <c r="C37" s="71" t="n"/>
      <c r="D37" s="71" t="n"/>
      <c r="E37" s="71" t="n"/>
      <c r="F37" s="71" t="n"/>
      <c r="G37" s="71" t="n"/>
      <c r="H37" s="71" t="n"/>
      <c r="I37" s="70" t="n"/>
      <c r="J37" s="70" t="n"/>
      <c r="K37" s="70" t="n"/>
      <c r="L37" s="70" t="n"/>
    </row>
    <row r="38">
      <c r="A38" s="71" t="n"/>
      <c r="B38" s="71" t="n"/>
      <c r="C38" s="71" t="n"/>
      <c r="D38" s="71" t="n"/>
      <c r="E38" s="71" t="n"/>
      <c r="F38" s="71" t="n"/>
      <c r="G38" s="71" t="n"/>
      <c r="H38" s="71" t="n"/>
      <c r="I38" s="70" t="n"/>
      <c r="J38" s="70" t="n"/>
      <c r="K38" s="70" t="n"/>
      <c r="L38" s="70" t="n"/>
    </row>
    <row r="39">
      <c r="A39" s="71" t="n"/>
      <c r="B39" s="71" t="n"/>
      <c r="C39" s="71" t="n"/>
      <c r="D39" s="71" t="n"/>
      <c r="E39" s="71" t="n"/>
      <c r="F39" s="71" t="n"/>
      <c r="G39" s="71" t="n"/>
      <c r="H39" s="71" t="n"/>
      <c r="I39" s="70" t="n"/>
      <c r="J39" s="70" t="n"/>
      <c r="K39" s="70" t="n"/>
      <c r="L39" s="70" t="n"/>
    </row>
    <row r="40">
      <c r="A40" s="71" t="n"/>
      <c r="B40" s="71" t="n"/>
      <c r="C40" s="71" t="n"/>
      <c r="D40" s="71" t="n"/>
      <c r="E40" s="71" t="n"/>
      <c r="F40" s="71" t="n"/>
      <c r="G40" s="71" t="n"/>
      <c r="H40" s="71" t="n"/>
      <c r="I40" s="70" t="n"/>
      <c r="J40" s="70" t="n"/>
      <c r="K40" s="70" t="n"/>
      <c r="L40" s="70" t="n"/>
    </row>
    <row r="41">
      <c r="A41" s="71" t="n"/>
      <c r="B41" s="71" t="n"/>
      <c r="C41" s="71" t="n"/>
      <c r="D41" s="71" t="n"/>
      <c r="E41" s="71" t="n"/>
      <c r="F41" s="71" t="n"/>
      <c r="G41" s="71" t="n"/>
      <c r="H41" s="71" t="n"/>
      <c r="I41" s="70" t="n"/>
      <c r="J41" s="70" t="n"/>
      <c r="K41" s="70" t="n"/>
      <c r="L41" s="70" t="n"/>
    </row>
    <row r="42">
      <c r="A42" s="71" t="n"/>
      <c r="B42" s="71" t="n"/>
      <c r="C42" s="71" t="n"/>
      <c r="D42" s="71" t="n"/>
      <c r="E42" s="71" t="n"/>
      <c r="F42" s="71" t="n"/>
      <c r="G42" s="71" t="n"/>
      <c r="H42" s="71" t="n"/>
      <c r="I42" s="70" t="n"/>
      <c r="J42" s="70" t="n"/>
      <c r="K42" s="70" t="n"/>
      <c r="L42" s="70" t="n"/>
    </row>
    <row r="43">
      <c r="A43" s="71" t="n"/>
      <c r="B43" s="71" t="n"/>
      <c r="C43" s="71" t="n"/>
      <c r="D43" s="71" t="n"/>
      <c r="E43" s="71" t="n"/>
      <c r="F43" s="71" t="n"/>
      <c r="G43" s="71" t="n"/>
      <c r="H43" s="71" t="n"/>
      <c r="I43" s="70" t="n"/>
      <c r="J43" s="70" t="n"/>
      <c r="K43" s="70" t="n"/>
      <c r="L43" s="70" t="n"/>
    </row>
    <row r="44">
      <c r="A44" s="71" t="n"/>
      <c r="B44" s="71" t="n"/>
      <c r="C44" s="71" t="n"/>
      <c r="D44" s="71" t="n"/>
      <c r="E44" s="71" t="n"/>
      <c r="F44" s="71" t="n"/>
      <c r="G44" s="71" t="n"/>
      <c r="H44" s="71" t="n"/>
      <c r="I44" s="70" t="n"/>
      <c r="J44" s="70" t="n"/>
      <c r="K44" s="70" t="n"/>
      <c r="L44" s="70" t="n"/>
    </row>
    <row r="45">
      <c r="A45" s="71" t="n"/>
      <c r="B45" s="71" t="n"/>
      <c r="C45" s="71" t="n"/>
      <c r="D45" s="71" t="n"/>
      <c r="E45" s="71" t="n"/>
      <c r="F45" s="71" t="n"/>
      <c r="G45" s="71" t="n"/>
      <c r="H45" s="71" t="n"/>
      <c r="I45" s="70" t="n"/>
      <c r="J45" s="70" t="n"/>
      <c r="K45" s="70" t="n"/>
      <c r="L45" s="70" t="n"/>
    </row>
    <row r="46">
      <c r="A46" s="71" t="n"/>
      <c r="B46" s="71" t="n"/>
      <c r="C46" s="71" t="n"/>
      <c r="D46" s="71" t="n"/>
      <c r="E46" s="71" t="n"/>
      <c r="F46" s="71" t="n"/>
      <c r="G46" s="71" t="n"/>
      <c r="H46" s="71" t="n"/>
      <c r="I46" s="70" t="n"/>
      <c r="J46" s="70" t="n"/>
      <c r="K46" s="70" t="n"/>
      <c r="L46" s="70" t="n"/>
    </row>
    <row r="47">
      <c r="A47" s="71" t="n"/>
      <c r="B47" s="71" t="n"/>
      <c r="C47" s="71" t="n"/>
      <c r="D47" s="71" t="n"/>
      <c r="E47" s="71" t="n"/>
      <c r="F47" s="71" t="n"/>
      <c r="G47" s="71" t="n"/>
      <c r="H47" s="71" t="n"/>
      <c r="I47" s="70" t="n"/>
      <c r="J47" s="70" t="n"/>
      <c r="K47" s="70" t="n"/>
      <c r="L47" s="70" t="n"/>
    </row>
    <row r="48">
      <c r="A48" s="71" t="n"/>
      <c r="B48" s="71" t="n"/>
      <c r="C48" s="71" t="n"/>
      <c r="D48" s="71" t="n"/>
      <c r="E48" s="71" t="n"/>
      <c r="F48" s="71" t="n"/>
      <c r="G48" s="71" t="n"/>
      <c r="H48" s="71" t="n"/>
      <c r="I48" s="70" t="n"/>
      <c r="J48" s="70" t="n"/>
      <c r="K48" s="70" t="n"/>
      <c r="L48" s="70" t="n"/>
    </row>
    <row r="49">
      <c r="A49" s="71" t="n"/>
      <c r="B49" s="71" t="n"/>
      <c r="C49" s="71" t="n"/>
      <c r="D49" s="71" t="n"/>
      <c r="E49" s="71" t="n"/>
      <c r="F49" s="71" t="n"/>
      <c r="G49" s="71" t="n"/>
      <c r="H49" s="71" t="n"/>
      <c r="I49" s="70" t="n"/>
      <c r="J49" s="70" t="n"/>
      <c r="K49" s="70" t="n"/>
      <c r="L49" s="70" t="n"/>
    </row>
    <row r="50">
      <c r="A50" s="71" t="n"/>
      <c r="B50" s="71" t="n"/>
      <c r="C50" s="71" t="n"/>
      <c r="D50" s="71" t="n"/>
      <c r="E50" s="71" t="n"/>
      <c r="F50" s="71" t="n"/>
      <c r="G50" s="71" t="n"/>
      <c r="H50" s="71" t="n"/>
      <c r="I50" s="70" t="n"/>
      <c r="J50" s="70" t="n"/>
      <c r="K50" s="70" t="n"/>
      <c r="L50" s="70" t="n"/>
    </row>
    <row r="51">
      <c r="A51" s="70" t="n"/>
      <c r="B51" s="70" t="n"/>
      <c r="C51" s="70" t="n"/>
      <c r="D51" s="70" t="n"/>
      <c r="E51" s="70" t="n"/>
      <c r="F51" s="70" t="n"/>
      <c r="G51" s="70" t="n"/>
      <c r="H51" s="70" t="n"/>
      <c r="I51" s="70" t="n"/>
      <c r="J51" s="70" t="n"/>
      <c r="K51" s="70" t="n"/>
      <c r="L51" s="70" t="n"/>
    </row>
    <row r="52">
      <c r="A52" s="70" t="n"/>
      <c r="B52" s="70" t="n"/>
      <c r="C52" s="70" t="n"/>
      <c r="D52" s="70" t="n"/>
      <c r="E52" s="70" t="n"/>
      <c r="F52" s="70" t="n"/>
      <c r="G52" s="70" t="n"/>
      <c r="H52" s="70" t="n"/>
      <c r="I52" s="70" t="n"/>
      <c r="J52" s="70" t="n"/>
      <c r="K52" s="70" t="n"/>
      <c r="L52" s="70" t="n"/>
    </row>
    <row r="53">
      <c r="A53" s="70" t="n"/>
      <c r="B53" s="70" t="n"/>
      <c r="C53" s="70" t="n"/>
      <c r="D53" s="70" t="n"/>
      <c r="E53" s="70" t="n"/>
      <c r="F53" s="70" t="n"/>
      <c r="G53" s="70" t="n"/>
      <c r="H53" s="70" t="n"/>
      <c r="I53" s="70" t="n"/>
      <c r="J53" s="70" t="n"/>
      <c r="K53" s="70" t="n"/>
      <c r="L53" s="70" t="n"/>
    </row>
    <row r="54">
      <c r="A54" s="70" t="n"/>
      <c r="B54" s="70" t="n"/>
      <c r="C54" s="70" t="n"/>
      <c r="D54" s="70" t="n"/>
      <c r="E54" s="70" t="n"/>
      <c r="F54" s="70" t="n"/>
      <c r="G54" s="70" t="n"/>
      <c r="H54" s="70" t="n"/>
      <c r="I54" s="70" t="n"/>
      <c r="J54" s="70" t="n"/>
      <c r="K54" s="70" t="n"/>
      <c r="L54" s="70" t="n"/>
    </row>
    <row r="55">
      <c r="A55" s="70" t="n"/>
      <c r="B55" s="70" t="n"/>
      <c r="C55" s="70" t="n"/>
      <c r="D55" s="70" t="n"/>
      <c r="E55" s="70" t="n"/>
      <c r="F55" s="70" t="n"/>
      <c r="G55" s="70" t="n"/>
      <c r="H55" s="70" t="n"/>
      <c r="I55" s="70" t="n"/>
      <c r="J55" s="70" t="n"/>
      <c r="K55" s="70" t="n"/>
      <c r="L55" s="70" t="n"/>
    </row>
    <row r="56">
      <c r="A56" s="70" t="n"/>
      <c r="B56" s="70" t="n"/>
      <c r="C56" s="70" t="n"/>
      <c r="D56" s="70" t="n"/>
      <c r="E56" s="70" t="n"/>
      <c r="F56" s="70" t="n"/>
      <c r="G56" s="70" t="n"/>
      <c r="H56" s="70" t="n"/>
      <c r="I56" s="70" t="n"/>
      <c r="J56" s="70" t="n"/>
      <c r="K56" s="70" t="n"/>
      <c r="L56" s="70" t="n"/>
    </row>
    <row r="57">
      <c r="A57" s="70" t="n"/>
      <c r="B57" s="70" t="n"/>
      <c r="C57" s="70" t="n"/>
      <c r="D57" s="70" t="n"/>
      <c r="E57" s="70" t="n"/>
      <c r="F57" s="70" t="n"/>
      <c r="G57" s="70" t="n"/>
      <c r="H57" s="70" t="n"/>
      <c r="I57" s="70" t="n"/>
      <c r="J57" s="70" t="n"/>
      <c r="K57" s="70" t="n"/>
      <c r="L57" s="70" t="n"/>
    </row>
    <row r="58">
      <c r="A58" s="70" t="n"/>
      <c r="B58" s="70" t="n"/>
      <c r="C58" s="70" t="n"/>
      <c r="D58" s="70" t="n"/>
      <c r="E58" s="70" t="n"/>
      <c r="F58" s="70" t="n"/>
      <c r="G58" s="70" t="n"/>
      <c r="H58" s="70" t="n"/>
      <c r="I58" s="70" t="n"/>
      <c r="J58" s="70" t="n"/>
      <c r="K58" s="70" t="n"/>
      <c r="L58" s="70" t="n"/>
    </row>
    <row r="59">
      <c r="A59" s="70" t="n"/>
      <c r="B59" s="70" t="n"/>
      <c r="C59" s="70" t="n"/>
      <c r="D59" s="70" t="n"/>
      <c r="E59" s="70" t="n"/>
      <c r="F59" s="70" t="n"/>
      <c r="G59" s="70" t="n"/>
      <c r="H59" s="70" t="n"/>
      <c r="I59" s="70" t="n"/>
      <c r="J59" s="70" t="n"/>
      <c r="K59" s="70" t="n"/>
      <c r="L59" s="70" t="n"/>
    </row>
    <row r="60">
      <c r="A60" s="70" t="n"/>
      <c r="B60" s="70" t="n"/>
      <c r="C60" s="70" t="n"/>
      <c r="D60" s="70" t="n"/>
      <c r="E60" s="70" t="n"/>
      <c r="F60" s="70" t="n"/>
      <c r="G60" s="70" t="n"/>
      <c r="H60" s="70" t="n"/>
      <c r="I60" s="70" t="n"/>
      <c r="J60" s="70" t="n"/>
      <c r="K60" s="70" t="n"/>
      <c r="L60" s="70" t="n"/>
    </row>
    <row r="61">
      <c r="A61" s="70" t="n"/>
      <c r="B61" s="70" t="n"/>
      <c r="C61" s="70" t="n"/>
      <c r="D61" s="70" t="n"/>
      <c r="E61" s="70" t="n"/>
      <c r="F61" s="70" t="n"/>
      <c r="G61" s="70" t="n"/>
      <c r="H61" s="70" t="n"/>
      <c r="I61" s="70" t="n"/>
      <c r="J61" s="70" t="n"/>
      <c r="K61" s="70" t="n"/>
      <c r="L61" s="70" t="n"/>
    </row>
    <row r="62">
      <c r="A62" s="70" t="n"/>
      <c r="B62" s="70" t="n"/>
      <c r="C62" s="70" t="n"/>
      <c r="D62" s="70" t="n"/>
      <c r="E62" s="70" t="n"/>
      <c r="F62" s="70" t="n"/>
      <c r="G62" s="70" t="n"/>
      <c r="H62" s="70" t="n"/>
      <c r="I62" s="70" t="n"/>
      <c r="J62" s="70" t="n"/>
      <c r="K62" s="70" t="n"/>
      <c r="L62" s="70" t="n"/>
    </row>
    <row r="63">
      <c r="A63" s="70" t="n"/>
      <c r="B63" s="70" t="n"/>
      <c r="C63" s="70" t="n"/>
      <c r="D63" s="70" t="n"/>
      <c r="E63" s="70" t="n"/>
      <c r="F63" s="70" t="n"/>
      <c r="G63" s="70" t="n"/>
      <c r="H63" s="70" t="n"/>
      <c r="I63" s="70" t="n"/>
      <c r="J63" s="70" t="n"/>
      <c r="K63" s="70" t="n"/>
      <c r="L63" s="70" t="n"/>
    </row>
    <row r="64">
      <c r="A64" s="70" t="n"/>
      <c r="B64" s="70" t="n"/>
      <c r="C64" s="70" t="n"/>
      <c r="D64" s="70" t="n"/>
      <c r="E64" s="70" t="n"/>
      <c r="F64" s="70" t="n"/>
      <c r="G64" s="70" t="n"/>
      <c r="H64" s="70" t="n"/>
      <c r="I64" s="70" t="n"/>
      <c r="J64" s="70" t="n"/>
      <c r="K64" s="70" t="n"/>
      <c r="L64" s="70" t="n"/>
    </row>
    <row r="65">
      <c r="A65" s="70" t="n"/>
      <c r="B65" s="70" t="n"/>
      <c r="C65" s="70" t="n"/>
      <c r="D65" s="70" t="n"/>
      <c r="E65" s="70" t="n"/>
      <c r="F65" s="70" t="n"/>
      <c r="G65" s="70" t="n"/>
      <c r="H65" s="70" t="n"/>
      <c r="I65" s="70" t="n"/>
      <c r="J65" s="70" t="n"/>
      <c r="K65" s="70" t="n"/>
      <c r="L65" s="70" t="n"/>
    </row>
    <row r="66">
      <c r="A66" s="70" t="n"/>
      <c r="B66" s="70" t="n"/>
      <c r="C66" s="70" t="n"/>
      <c r="D66" s="70" t="n"/>
      <c r="E66" s="70" t="n"/>
      <c r="F66" s="70" t="n"/>
      <c r="G66" s="70" t="n"/>
      <c r="H66" s="70" t="n"/>
      <c r="I66" s="70" t="n"/>
      <c r="J66" s="70" t="n"/>
      <c r="K66" s="70" t="n"/>
      <c r="L66" s="70" t="n"/>
    </row>
    <row r="67">
      <c r="A67" s="70" t="n"/>
      <c r="B67" s="70" t="n"/>
      <c r="C67" s="70" t="n"/>
      <c r="D67" s="70" t="n"/>
      <c r="E67" s="70" t="n"/>
      <c r="F67" s="70" t="n"/>
      <c r="G67" s="70" t="n"/>
      <c r="H67" s="70" t="n"/>
      <c r="I67" s="70" t="n"/>
      <c r="J67" s="70" t="n"/>
      <c r="K67" s="70" t="n"/>
      <c r="L67" s="70" t="n"/>
    </row>
    <row r="68">
      <c r="A68" s="70" t="n"/>
      <c r="B68" s="70" t="n"/>
      <c r="C68" s="70" t="n"/>
      <c r="D68" s="70" t="n"/>
      <c r="E68" s="70" t="n"/>
      <c r="F68" s="70" t="n"/>
      <c r="G68" s="70" t="n"/>
      <c r="H68" s="70" t="n"/>
      <c r="I68" s="70" t="n"/>
      <c r="J68" s="70" t="n"/>
      <c r="K68" s="70" t="n"/>
      <c r="L68" s="70" t="n"/>
    </row>
    <row r="69">
      <c r="A69" s="70" t="n"/>
      <c r="B69" s="70" t="n"/>
      <c r="C69" s="70" t="n"/>
      <c r="D69" s="70" t="n"/>
      <c r="E69" s="70" t="n"/>
      <c r="F69" s="70" t="n"/>
      <c r="G69" s="70" t="n"/>
      <c r="H69" s="70" t="n"/>
      <c r="I69" s="70" t="n"/>
      <c r="J69" s="70" t="n"/>
      <c r="K69" s="70" t="n"/>
      <c r="L69" s="70" t="n"/>
    </row>
    <row r="70">
      <c r="A70" s="70" t="n"/>
      <c r="B70" s="70" t="n"/>
      <c r="C70" s="70" t="n"/>
      <c r="D70" s="70" t="n"/>
      <c r="E70" s="70" t="n"/>
      <c r="F70" s="70" t="n"/>
      <c r="G70" s="70" t="n"/>
      <c r="H70" s="70" t="n"/>
      <c r="I70" s="70" t="n"/>
      <c r="J70" s="70" t="n"/>
      <c r="K70" s="70" t="n"/>
      <c r="L70" s="70" t="n"/>
    </row>
    <row r="71">
      <c r="A71" s="70" t="n"/>
      <c r="B71" s="70" t="n"/>
      <c r="C71" s="70" t="n"/>
      <c r="D71" s="70" t="n"/>
      <c r="E71" s="70" t="n"/>
      <c r="F71" s="70" t="n"/>
      <c r="G71" s="70" t="n"/>
      <c r="H71" s="70" t="n"/>
      <c r="I71" s="70" t="n"/>
      <c r="J71" s="70" t="n"/>
      <c r="K71" s="70" t="n"/>
      <c r="L71" s="70" t="n"/>
    </row>
    <row r="72">
      <c r="A72" s="70" t="n"/>
      <c r="B72" s="70" t="n"/>
      <c r="C72" s="70" t="n"/>
      <c r="D72" s="70" t="n"/>
      <c r="E72" s="70" t="n"/>
      <c r="F72" s="70" t="n"/>
      <c r="G72" s="70" t="n"/>
      <c r="H72" s="70" t="n"/>
      <c r="I72" s="70" t="n"/>
      <c r="J72" s="70" t="n"/>
      <c r="K72" s="70" t="n"/>
      <c r="L72" s="70" t="n"/>
    </row>
    <row r="73">
      <c r="A73" s="70" t="n"/>
      <c r="B73" s="70" t="n"/>
      <c r="C73" s="70" t="n"/>
      <c r="D73" s="70" t="n"/>
      <c r="E73" s="70" t="n"/>
      <c r="F73" s="70" t="n"/>
      <c r="G73" s="70" t="n"/>
      <c r="H73" s="70" t="n"/>
      <c r="I73" s="70" t="n"/>
      <c r="J73" s="70" t="n"/>
      <c r="K73" s="70" t="n"/>
      <c r="L73" s="70" t="n"/>
    </row>
    <row r="74">
      <c r="A74" s="70" t="n"/>
      <c r="B74" s="70" t="n"/>
      <c r="C74" s="70" t="n"/>
      <c r="D74" s="70" t="n"/>
      <c r="E74" s="70" t="n"/>
      <c r="F74" s="70" t="n"/>
      <c r="G74" s="70" t="n"/>
      <c r="H74" s="70" t="n"/>
      <c r="I74" s="70" t="n"/>
      <c r="J74" s="70" t="n"/>
      <c r="K74" s="70" t="n"/>
      <c r="L74" s="70" t="n"/>
    </row>
    <row r="75">
      <c r="A75" s="70" t="n"/>
      <c r="B75" s="70" t="n"/>
      <c r="C75" s="70" t="n"/>
      <c r="D75" s="70" t="n"/>
      <c r="E75" s="70" t="n"/>
      <c r="F75" s="70" t="n"/>
      <c r="G75" s="70" t="n"/>
      <c r="H75" s="70" t="n"/>
      <c r="I75" s="70" t="n"/>
      <c r="J75" s="70" t="n"/>
      <c r="K75" s="70" t="n"/>
      <c r="L75" s="70" t="n"/>
    </row>
    <row r="76">
      <c r="A76" s="70" t="n"/>
      <c r="B76" s="70" t="n"/>
      <c r="C76" s="70" t="n"/>
      <c r="D76" s="70" t="n"/>
      <c r="E76" s="70" t="n"/>
      <c r="F76" s="70" t="n"/>
      <c r="G76" s="70" t="n"/>
      <c r="H76" s="70" t="n"/>
      <c r="I76" s="70" t="n"/>
      <c r="J76" s="70" t="n"/>
      <c r="K76" s="70" t="n"/>
      <c r="L76" s="70" t="n"/>
    </row>
    <row r="77">
      <c r="A77" s="70" t="n"/>
      <c r="B77" s="70" t="n"/>
      <c r="C77" s="70" t="n"/>
      <c r="D77" s="70" t="n"/>
      <c r="E77" s="70" t="n"/>
      <c r="F77" s="70" t="n"/>
      <c r="G77" s="70" t="n"/>
      <c r="H77" s="70" t="n"/>
      <c r="I77" s="70" t="n"/>
      <c r="J77" s="70" t="n"/>
      <c r="K77" s="70" t="n"/>
      <c r="L77" s="70" t="n"/>
    </row>
    <row r="78">
      <c r="A78" s="70" t="n"/>
      <c r="B78" s="70" t="n"/>
      <c r="C78" s="70" t="n"/>
      <c r="D78" s="70" t="n"/>
      <c r="E78" s="70" t="n"/>
      <c r="F78" s="70" t="n"/>
      <c r="G78" s="70" t="n"/>
      <c r="H78" s="70" t="n"/>
      <c r="I78" s="70" t="n"/>
      <c r="J78" s="70" t="n"/>
      <c r="K78" s="70" t="n"/>
      <c r="L78" s="70" t="n"/>
    </row>
    <row r="79">
      <c r="A79" s="70" t="n"/>
      <c r="B79" s="70" t="n"/>
      <c r="C79" s="70" t="n"/>
      <c r="D79" s="70" t="n"/>
      <c r="E79" s="70" t="n"/>
      <c r="F79" s="70" t="n"/>
      <c r="G79" s="70" t="n"/>
      <c r="H79" s="70" t="n"/>
      <c r="I79" s="70" t="n"/>
      <c r="J79" s="70" t="n"/>
      <c r="K79" s="70" t="n"/>
      <c r="L79" s="70" t="n"/>
    </row>
    <row r="80">
      <c r="A80" s="70" t="n"/>
      <c r="B80" s="70" t="n"/>
      <c r="C80" s="70" t="n"/>
      <c r="D80" s="70" t="n"/>
      <c r="E80" s="70" t="n"/>
      <c r="F80" s="70" t="n"/>
      <c r="G80" s="70" t="n"/>
      <c r="H80" s="70" t="n"/>
      <c r="I80" s="70" t="n"/>
      <c r="J80" s="70" t="n"/>
      <c r="K80" s="70" t="n"/>
      <c r="L80" s="70" t="n"/>
    </row>
    <row r="81">
      <c r="A81" s="70" t="n"/>
      <c r="B81" s="70" t="n"/>
      <c r="C81" s="70" t="n"/>
      <c r="D81" s="70" t="n"/>
      <c r="E81" s="70" t="n"/>
      <c r="F81" s="70" t="n"/>
      <c r="G81" s="70" t="n"/>
      <c r="H81" s="70" t="n"/>
      <c r="I81" s="70" t="n"/>
      <c r="J81" s="70" t="n"/>
      <c r="K81" s="70" t="n"/>
      <c r="L81" s="70" t="n"/>
    </row>
    <row r="82">
      <c r="A82" s="70" t="n"/>
      <c r="B82" s="70" t="n"/>
      <c r="C82" s="70" t="n"/>
      <c r="D82" s="70" t="n"/>
      <c r="E82" s="70" t="n"/>
      <c r="F82" s="70" t="n"/>
      <c r="G82" s="70" t="n"/>
      <c r="H82" s="70" t="n"/>
      <c r="I82" s="70" t="n"/>
      <c r="J82" s="70" t="n"/>
      <c r="K82" s="70" t="n"/>
      <c r="L82" s="70" t="n"/>
    </row>
    <row r="83">
      <c r="A83" s="70" t="n"/>
      <c r="B83" s="70" t="n"/>
      <c r="C83" s="70" t="n"/>
      <c r="D83" s="70" t="n"/>
      <c r="E83" s="70" t="n"/>
      <c r="F83" s="70" t="n"/>
      <c r="G83" s="70" t="n"/>
      <c r="H83" s="70" t="n"/>
      <c r="I83" s="70" t="n"/>
      <c r="J83" s="70" t="n"/>
      <c r="K83" s="70" t="n"/>
      <c r="L83" s="70" t="n"/>
    </row>
    <row r="84">
      <c r="A84" s="70" t="n"/>
      <c r="B84" s="70" t="n"/>
      <c r="C84" s="70" t="n"/>
      <c r="D84" s="70" t="n"/>
      <c r="E84" s="70" t="n"/>
      <c r="F84" s="70" t="n"/>
      <c r="G84" s="70" t="n"/>
      <c r="H84" s="70" t="n"/>
      <c r="I84" s="70" t="n"/>
      <c r="J84" s="70" t="n"/>
      <c r="K84" s="70" t="n"/>
      <c r="L84" s="70" t="n"/>
    </row>
    <row r="85">
      <c r="A85" s="70" t="n"/>
      <c r="B85" s="70" t="n"/>
      <c r="C85" s="70" t="n"/>
      <c r="D85" s="70" t="n"/>
      <c r="E85" s="70" t="n"/>
      <c r="F85" s="70" t="n"/>
      <c r="G85" s="70" t="n"/>
      <c r="H85" s="70" t="n"/>
      <c r="I85" s="70" t="n"/>
      <c r="J85" s="70" t="n"/>
      <c r="K85" s="70" t="n"/>
      <c r="L85" s="70" t="n"/>
    </row>
    <row r="86">
      <c r="A86" s="70" t="n"/>
      <c r="B86" s="70" t="n"/>
      <c r="C86" s="70" t="n"/>
      <c r="D86" s="70" t="n"/>
      <c r="E86" s="70" t="n"/>
      <c r="F86" s="70" t="n"/>
      <c r="G86" s="70" t="n"/>
      <c r="H86" s="70" t="n"/>
      <c r="I86" s="70" t="n"/>
      <c r="J86" s="70" t="n"/>
      <c r="K86" s="70" t="n"/>
      <c r="L86" s="70" t="n"/>
    </row>
    <row r="87">
      <c r="A87" s="70" t="n"/>
      <c r="B87" s="70" t="n"/>
      <c r="C87" s="70" t="n"/>
      <c r="D87" s="70" t="n"/>
      <c r="E87" s="70" t="n"/>
      <c r="F87" s="70" t="n"/>
      <c r="G87" s="70" t="n"/>
      <c r="H87" s="70" t="n"/>
      <c r="I87" s="70" t="n"/>
      <c r="J87" s="70" t="n"/>
      <c r="K87" s="70" t="n"/>
      <c r="L87" s="70" t="n"/>
    </row>
    <row r="88">
      <c r="A88" s="70" t="n"/>
      <c r="B88" s="70" t="n"/>
      <c r="C88" s="70" t="n"/>
      <c r="D88" s="70" t="n"/>
      <c r="E88" s="70" t="n"/>
      <c r="F88" s="70" t="n"/>
      <c r="G88" s="70" t="n"/>
      <c r="H88" s="70" t="n"/>
      <c r="I88" s="70" t="n"/>
      <c r="J88" s="70" t="n"/>
      <c r="K88" s="70" t="n"/>
      <c r="L88" s="70" t="n"/>
    </row>
    <row r="89">
      <c r="A89" s="70" t="n"/>
      <c r="B89" s="70" t="n"/>
      <c r="C89" s="70" t="n"/>
      <c r="D89" s="70" t="n"/>
      <c r="E89" s="70" t="n"/>
      <c r="F89" s="70" t="n"/>
      <c r="G89" s="70" t="n"/>
      <c r="H89" s="70" t="n"/>
      <c r="I89" s="70" t="n"/>
      <c r="J89" s="70" t="n"/>
      <c r="K89" s="70" t="n"/>
      <c r="L89" s="70" t="n"/>
    </row>
    <row r="90">
      <c r="A90" s="70" t="n"/>
      <c r="B90" s="70" t="n"/>
      <c r="C90" s="70" t="n"/>
      <c r="D90" s="70" t="n"/>
      <c r="E90" s="70" t="n"/>
      <c r="F90" s="70" t="n"/>
      <c r="G90" s="70" t="n"/>
      <c r="H90" s="70" t="n"/>
      <c r="I90" s="70" t="n"/>
      <c r="J90" s="70" t="n"/>
      <c r="K90" s="70" t="n"/>
      <c r="L90" s="70" t="n"/>
    </row>
    <row r="91">
      <c r="A91" s="70" t="n"/>
      <c r="B91" s="70" t="n"/>
      <c r="C91" s="70" t="n"/>
      <c r="D91" s="70" t="n"/>
      <c r="E91" s="70" t="n"/>
      <c r="F91" s="70" t="n"/>
      <c r="G91" s="70" t="n"/>
      <c r="H91" s="70" t="n"/>
      <c r="I91" s="70" t="n"/>
      <c r="J91" s="70" t="n"/>
      <c r="K91" s="70" t="n"/>
      <c r="L91" s="70" t="n"/>
    </row>
    <row r="92">
      <c r="A92" s="70" t="n"/>
      <c r="B92" s="70" t="n"/>
      <c r="C92" s="70" t="n"/>
      <c r="D92" s="70" t="n"/>
      <c r="E92" s="70" t="n"/>
      <c r="F92" s="70" t="n"/>
      <c r="G92" s="70" t="n"/>
      <c r="H92" s="70" t="n"/>
      <c r="I92" s="70" t="n"/>
      <c r="J92" s="70" t="n"/>
      <c r="K92" s="70" t="n"/>
      <c r="L92" s="70" t="n"/>
    </row>
    <row r="93">
      <c r="A93" s="70" t="n"/>
      <c r="B93" s="70" t="n"/>
      <c r="C93" s="70" t="n"/>
      <c r="D93" s="70" t="n"/>
      <c r="E93" s="70" t="n"/>
      <c r="F93" s="70" t="n"/>
      <c r="G93" s="70" t="n"/>
      <c r="H93" s="70" t="n"/>
      <c r="I93" s="70" t="n"/>
      <c r="J93" s="70" t="n"/>
      <c r="K93" s="70" t="n"/>
      <c r="L93" s="70" t="n"/>
    </row>
    <row r="94">
      <c r="A94" s="70" t="n"/>
      <c r="B94" s="70" t="n"/>
      <c r="C94" s="70" t="n"/>
      <c r="D94" s="70" t="n"/>
      <c r="E94" s="70" t="n"/>
      <c r="F94" s="70" t="n"/>
      <c r="G94" s="70" t="n"/>
      <c r="H94" s="70" t="n"/>
      <c r="I94" s="70" t="n"/>
      <c r="J94" s="70" t="n"/>
      <c r="K94" s="70" t="n"/>
      <c r="L94" s="70" t="n"/>
    </row>
    <row r="95">
      <c r="A95" s="70" t="n"/>
      <c r="B95" s="70" t="n"/>
      <c r="C95" s="70" t="n"/>
      <c r="D95" s="70" t="n"/>
      <c r="E95" s="70" t="n"/>
      <c r="F95" s="70" t="n"/>
      <c r="G95" s="70" t="n"/>
      <c r="H95" s="70" t="n"/>
      <c r="I95" s="70" t="n"/>
      <c r="J95" s="70" t="n"/>
      <c r="K95" s="70" t="n"/>
      <c r="L95" s="70" t="n"/>
    </row>
    <row r="96">
      <c r="A96" s="70" t="n"/>
      <c r="B96" s="70" t="n"/>
      <c r="C96" s="70" t="n"/>
      <c r="D96" s="70" t="n"/>
      <c r="E96" s="70" t="n"/>
      <c r="F96" s="70" t="n"/>
      <c r="G96" s="70" t="n"/>
      <c r="H96" s="70" t="n"/>
      <c r="I96" s="70" t="n"/>
      <c r="J96" s="70" t="n"/>
      <c r="K96" s="70" t="n"/>
      <c r="L96" s="70" t="n"/>
    </row>
    <row r="97">
      <c r="A97" s="70" t="n"/>
      <c r="B97" s="70" t="n"/>
      <c r="C97" s="70" t="n"/>
      <c r="D97" s="70" t="n"/>
      <c r="E97" s="70" t="n"/>
      <c r="F97" s="70" t="n"/>
      <c r="G97" s="70" t="n"/>
      <c r="H97" s="70" t="n"/>
      <c r="I97" s="70" t="n"/>
      <c r="J97" s="70" t="n"/>
      <c r="K97" s="70" t="n"/>
      <c r="L97" s="70" t="n"/>
    </row>
    <row r="98">
      <c r="A98" s="70" t="n"/>
      <c r="B98" s="70" t="n"/>
      <c r="C98" s="70" t="n"/>
      <c r="D98" s="70" t="n"/>
      <c r="E98" s="70" t="n"/>
      <c r="F98" s="70" t="n"/>
      <c r="G98" s="70" t="n"/>
      <c r="H98" s="70" t="n"/>
      <c r="I98" s="70" t="n"/>
      <c r="J98" s="70" t="n"/>
      <c r="K98" s="70" t="n"/>
      <c r="L98" s="70" t="n"/>
    </row>
    <row r="99">
      <c r="A99" s="70" t="n"/>
      <c r="B99" s="70" t="n"/>
      <c r="C99" s="70" t="n"/>
      <c r="D99" s="70" t="n"/>
      <c r="E99" s="70" t="n"/>
      <c r="F99" s="70" t="n"/>
      <c r="G99" s="70" t="n"/>
      <c r="H99" s="70" t="n"/>
      <c r="I99" s="70" t="n"/>
      <c r="J99" s="70" t="n"/>
      <c r="K99" s="70" t="n"/>
      <c r="L99" s="70" t="n"/>
    </row>
    <row r="100">
      <c r="A100" s="70" t="n"/>
      <c r="B100" s="70" t="n"/>
      <c r="C100" s="70" t="n"/>
      <c r="D100" s="70" t="n"/>
      <c r="E100" s="70" t="n"/>
      <c r="F100" s="70" t="n"/>
      <c r="G100" s="70" t="n"/>
      <c r="H100" s="70" t="n"/>
      <c r="I100" s="70" t="n"/>
      <c r="J100" s="70" t="n"/>
      <c r="K100" s="70" t="n"/>
      <c r="L100" s="70" t="n"/>
    </row>
    <row r="101">
      <c r="A101" s="70" t="n"/>
      <c r="B101" s="70" t="n"/>
      <c r="C101" s="70" t="n"/>
      <c r="D101" s="70" t="n"/>
      <c r="E101" s="70" t="n"/>
      <c r="F101" s="70" t="n"/>
      <c r="G101" s="70" t="n"/>
      <c r="H101" s="70" t="n"/>
      <c r="I101" s="70" t="n"/>
      <c r="J101" s="70" t="n"/>
      <c r="K101" s="70" t="n"/>
      <c r="L101" s="70" t="n"/>
    </row>
    <row r="102">
      <c r="A102" s="70" t="n"/>
      <c r="B102" s="70" t="n"/>
      <c r="C102" s="70" t="n"/>
      <c r="D102" s="70" t="n"/>
      <c r="E102" s="70" t="n"/>
      <c r="F102" s="70" t="n"/>
      <c r="G102" s="70" t="n"/>
      <c r="H102" s="70" t="n"/>
      <c r="I102" s="70" t="n"/>
      <c r="J102" s="70" t="n"/>
      <c r="K102" s="70" t="n"/>
      <c r="L102" s="70" t="n"/>
    </row>
    <row r="103">
      <c r="A103" s="70" t="n"/>
      <c r="B103" s="70" t="n"/>
      <c r="C103" s="70" t="n"/>
      <c r="D103" s="70" t="n"/>
      <c r="E103" s="70" t="n"/>
      <c r="F103" s="70" t="n"/>
      <c r="G103" s="70" t="n"/>
      <c r="H103" s="70" t="n"/>
      <c r="I103" s="70" t="n"/>
      <c r="J103" s="70" t="n"/>
      <c r="K103" s="70" t="n"/>
      <c r="L103" s="70" t="n"/>
    </row>
    <row r="104">
      <c r="A104" s="70" t="n"/>
      <c r="B104" s="70" t="n"/>
      <c r="C104" s="70" t="n"/>
      <c r="D104" s="70" t="n"/>
      <c r="E104" s="70" t="n"/>
      <c r="F104" s="70" t="n"/>
      <c r="G104" s="70" t="n"/>
      <c r="H104" s="70" t="n"/>
      <c r="I104" s="70" t="n"/>
      <c r="J104" s="70" t="n"/>
      <c r="K104" s="70" t="n"/>
      <c r="L104" s="70" t="n"/>
    </row>
    <row r="105">
      <c r="A105" s="70" t="n"/>
      <c r="B105" s="70" t="n"/>
      <c r="C105" s="70" t="n"/>
      <c r="D105" s="70" t="n"/>
      <c r="E105" s="70" t="n"/>
      <c r="F105" s="70" t="n"/>
      <c r="G105" s="70" t="n"/>
      <c r="H105" s="70" t="n"/>
      <c r="I105" s="70" t="n"/>
      <c r="J105" s="70" t="n"/>
      <c r="K105" s="70" t="n"/>
      <c r="L105" s="70" t="n"/>
    </row>
    <row r="106">
      <c r="A106" s="70" t="n"/>
      <c r="B106" s="70" t="n"/>
      <c r="C106" s="70" t="n"/>
      <c r="D106" s="70" t="n"/>
      <c r="E106" s="70" t="n"/>
      <c r="F106" s="70" t="n"/>
      <c r="G106" s="70" t="n"/>
      <c r="H106" s="70" t="n"/>
      <c r="I106" s="70" t="n"/>
      <c r="J106" s="70" t="n"/>
      <c r="K106" s="70" t="n"/>
      <c r="L106" s="70" t="n"/>
    </row>
    <row r="107">
      <c r="A107" s="70" t="n"/>
      <c r="B107" s="70" t="n"/>
      <c r="C107" s="70" t="n"/>
      <c r="D107" s="70" t="n"/>
      <c r="E107" s="70" t="n"/>
      <c r="F107" s="70" t="n"/>
      <c r="G107" s="70" t="n"/>
      <c r="H107" s="70" t="n"/>
      <c r="I107" s="70" t="n"/>
      <c r="J107" s="70" t="n"/>
      <c r="K107" s="70" t="n"/>
      <c r="L107" s="70" t="n"/>
    </row>
    <row r="108">
      <c r="A108" s="70" t="n"/>
      <c r="B108" s="70" t="n"/>
      <c r="C108" s="70" t="n"/>
      <c r="D108" s="70" t="n"/>
      <c r="E108" s="70" t="n"/>
      <c r="F108" s="70" t="n"/>
      <c r="G108" s="70" t="n"/>
      <c r="H108" s="70" t="n"/>
      <c r="I108" s="70" t="n"/>
      <c r="J108" s="70" t="n"/>
      <c r="K108" s="70" t="n"/>
      <c r="L108" s="70" t="n"/>
    </row>
    <row r="109">
      <c r="A109" s="70" t="n"/>
      <c r="B109" s="70" t="n"/>
      <c r="C109" s="70" t="n"/>
      <c r="D109" s="70" t="n"/>
      <c r="E109" s="70" t="n"/>
      <c r="F109" s="70" t="n"/>
      <c r="G109" s="70" t="n"/>
      <c r="H109" s="70" t="n"/>
      <c r="I109" s="70" t="n"/>
      <c r="J109" s="70" t="n"/>
      <c r="K109" s="70" t="n"/>
      <c r="L109" s="70" t="n"/>
    </row>
    <row r="110">
      <c r="A110" s="70" t="n"/>
      <c r="B110" s="70" t="n"/>
      <c r="C110" s="70" t="n"/>
      <c r="D110" s="70" t="n"/>
      <c r="E110" s="70" t="n"/>
      <c r="F110" s="70" t="n"/>
      <c r="G110" s="70" t="n"/>
      <c r="H110" s="70" t="n"/>
      <c r="I110" s="70" t="n"/>
      <c r="J110" s="70" t="n"/>
      <c r="K110" s="70" t="n"/>
      <c r="L110" s="70" t="n"/>
    </row>
    <row r="111">
      <c r="A111" s="70" t="n"/>
      <c r="B111" s="70" t="n"/>
      <c r="C111" s="70" t="n"/>
      <c r="D111" s="70" t="n"/>
      <c r="E111" s="70" t="n"/>
      <c r="F111" s="70" t="n"/>
      <c r="G111" s="70" t="n"/>
      <c r="H111" s="70" t="n"/>
      <c r="I111" s="70" t="n"/>
      <c r="J111" s="70" t="n"/>
      <c r="K111" s="70" t="n"/>
      <c r="L111" s="70" t="n"/>
    </row>
    <row r="112">
      <c r="A112" s="70" t="n"/>
      <c r="B112" s="70" t="n"/>
      <c r="C112" s="70" t="n"/>
      <c r="D112" s="70" t="n"/>
      <c r="E112" s="70" t="n"/>
      <c r="F112" s="70" t="n"/>
      <c r="G112" s="70" t="n"/>
      <c r="H112" s="70" t="n"/>
      <c r="I112" s="70" t="n"/>
      <c r="J112" s="70" t="n"/>
      <c r="K112" s="70" t="n"/>
      <c r="L112" s="70" t="n"/>
    </row>
    <row r="113">
      <c r="A113" s="70" t="n"/>
      <c r="B113" s="70" t="n"/>
      <c r="C113" s="70" t="n"/>
      <c r="D113" s="70" t="n"/>
      <c r="E113" s="70" t="n"/>
      <c r="F113" s="70" t="n"/>
      <c r="G113" s="70" t="n"/>
      <c r="H113" s="70" t="n"/>
      <c r="I113" s="70" t="n"/>
      <c r="J113" s="70" t="n"/>
      <c r="K113" s="70" t="n"/>
      <c r="L113" s="70" t="n"/>
    </row>
    <row r="114">
      <c r="A114" s="70" t="n"/>
      <c r="B114" s="70" t="n"/>
      <c r="C114" s="70" t="n"/>
      <c r="D114" s="70" t="n"/>
      <c r="E114" s="70" t="n"/>
      <c r="F114" s="70" t="n"/>
      <c r="G114" s="70" t="n"/>
      <c r="H114" s="70" t="n"/>
      <c r="I114" s="70" t="n"/>
      <c r="J114" s="70" t="n"/>
      <c r="K114" s="70" t="n"/>
      <c r="L114" s="70" t="n"/>
    </row>
    <row r="115">
      <c r="A115" s="70" t="n"/>
      <c r="B115" s="70" t="n"/>
      <c r="C115" s="70" t="n"/>
      <c r="D115" s="70" t="n"/>
      <c r="E115" s="70" t="n"/>
      <c r="F115" s="70" t="n"/>
      <c r="G115" s="70" t="n"/>
      <c r="H115" s="70" t="n"/>
      <c r="I115" s="70" t="n"/>
      <c r="J115" s="70" t="n"/>
      <c r="K115" s="70" t="n"/>
      <c r="L115" s="70" t="n"/>
    </row>
    <row r="116">
      <c r="A116" s="70" t="n"/>
      <c r="B116" s="70" t="n"/>
      <c r="C116" s="70" t="n"/>
      <c r="D116" s="70" t="n"/>
      <c r="E116" s="70" t="n"/>
      <c r="F116" s="70" t="n"/>
      <c r="G116" s="70" t="n"/>
      <c r="H116" s="70" t="n"/>
      <c r="I116" s="70" t="n"/>
      <c r="J116" s="70" t="n"/>
      <c r="K116" s="70" t="n"/>
      <c r="L116" s="70" t="n"/>
    </row>
    <row r="117">
      <c r="A117" s="70" t="n"/>
      <c r="B117" s="70" t="n"/>
      <c r="C117" s="70" t="n"/>
      <c r="D117" s="70" t="n"/>
      <c r="E117" s="70" t="n"/>
      <c r="F117" s="70" t="n"/>
      <c r="G117" s="70" t="n"/>
      <c r="H117" s="70" t="n"/>
      <c r="I117" s="70" t="n"/>
      <c r="J117" s="70" t="n"/>
      <c r="K117" s="70" t="n"/>
      <c r="L117" s="70" t="n"/>
    </row>
    <row r="118">
      <c r="A118" s="70" t="n"/>
      <c r="B118" s="70" t="n"/>
      <c r="C118" s="70" t="n"/>
      <c r="D118" s="70" t="n"/>
      <c r="E118" s="70" t="n"/>
      <c r="F118" s="70" t="n"/>
      <c r="G118" s="70" t="n"/>
      <c r="H118" s="70" t="n"/>
      <c r="I118" s="70" t="n"/>
      <c r="J118" s="70" t="n"/>
      <c r="K118" s="70" t="n"/>
      <c r="L118" s="70" t="n"/>
    </row>
    <row r="119">
      <c r="A119" s="70" t="n"/>
      <c r="B119" s="70" t="n"/>
      <c r="C119" s="70" t="n"/>
      <c r="D119" s="70" t="n"/>
      <c r="E119" s="70" t="n"/>
      <c r="F119" s="70" t="n"/>
      <c r="G119" s="70" t="n"/>
      <c r="H119" s="70" t="n"/>
      <c r="I119" s="70" t="n"/>
      <c r="J119" s="70" t="n"/>
      <c r="K119" s="70" t="n"/>
      <c r="L119" s="70" t="n"/>
    </row>
    <row r="120">
      <c r="A120" s="70" t="n"/>
      <c r="B120" s="70" t="n"/>
      <c r="C120" s="70" t="n"/>
      <c r="D120" s="70" t="n"/>
      <c r="E120" s="70" t="n"/>
      <c r="F120" s="70" t="n"/>
      <c r="G120" s="70" t="n"/>
      <c r="H120" s="70" t="n"/>
      <c r="I120" s="70" t="n"/>
      <c r="J120" s="70" t="n"/>
      <c r="K120" s="70" t="n"/>
      <c r="L120" s="70" t="n"/>
    </row>
    <row r="121">
      <c r="A121" s="70" t="n"/>
      <c r="B121" s="70" t="n"/>
      <c r="C121" s="70" t="n"/>
      <c r="D121" s="70" t="n"/>
      <c r="E121" s="70" t="n"/>
      <c r="F121" s="70" t="n"/>
      <c r="G121" s="70" t="n"/>
      <c r="H121" s="70" t="n"/>
      <c r="I121" s="70" t="n"/>
      <c r="J121" s="70" t="n"/>
      <c r="K121" s="70" t="n"/>
      <c r="L121" s="70" t="n"/>
    </row>
    <row r="122">
      <c r="A122" s="70" t="n"/>
      <c r="B122" s="70" t="n"/>
      <c r="C122" s="70" t="n"/>
      <c r="D122" s="70" t="n"/>
      <c r="E122" s="70" t="n"/>
      <c r="F122" s="70" t="n"/>
      <c r="G122" s="70" t="n"/>
      <c r="H122" s="70" t="n"/>
      <c r="I122" s="70" t="n"/>
      <c r="J122" s="70" t="n"/>
      <c r="K122" s="70" t="n"/>
      <c r="L122" s="70" t="n"/>
    </row>
    <row r="123">
      <c r="A123" s="70" t="n"/>
      <c r="B123" s="70" t="n"/>
      <c r="C123" s="70" t="n"/>
      <c r="D123" s="70" t="n"/>
      <c r="E123" s="70" t="n"/>
      <c r="F123" s="70" t="n"/>
      <c r="G123" s="70" t="n"/>
      <c r="H123" s="70" t="n"/>
      <c r="I123" s="70" t="n"/>
      <c r="J123" s="70" t="n"/>
      <c r="K123" s="70" t="n"/>
      <c r="L123" s="70" t="n"/>
    </row>
    <row r="124">
      <c r="A124" s="70" t="n"/>
      <c r="B124" s="70" t="n"/>
      <c r="C124" s="70" t="n"/>
      <c r="D124" s="70" t="n"/>
      <c r="E124" s="70" t="n"/>
      <c r="F124" s="70" t="n"/>
      <c r="G124" s="70" t="n"/>
      <c r="H124" s="70" t="n"/>
      <c r="I124" s="70" t="n"/>
      <c r="J124" s="70" t="n"/>
      <c r="K124" s="70" t="n"/>
      <c r="L124" s="70" t="n"/>
    </row>
    <row r="125">
      <c r="A125" s="70" t="n"/>
      <c r="B125" s="70" t="n"/>
      <c r="C125" s="70" t="n"/>
      <c r="D125" s="70" t="n"/>
      <c r="E125" s="70" t="n"/>
      <c r="F125" s="70" t="n"/>
      <c r="G125" s="70" t="n"/>
      <c r="H125" s="70" t="n"/>
      <c r="I125" s="70" t="n"/>
      <c r="J125" s="70" t="n"/>
      <c r="K125" s="70" t="n"/>
      <c r="L125" s="70" t="n"/>
    </row>
    <row r="126">
      <c r="A126" s="70" t="n"/>
      <c r="B126" s="70" t="n"/>
      <c r="C126" s="70" t="n"/>
      <c r="D126" s="70" t="n"/>
      <c r="E126" s="70" t="n"/>
      <c r="F126" s="70" t="n"/>
      <c r="G126" s="70" t="n"/>
      <c r="H126" s="70" t="n"/>
      <c r="I126" s="70" t="n"/>
      <c r="J126" s="70" t="n"/>
      <c r="K126" s="70" t="n"/>
      <c r="L126" s="70" t="n"/>
    </row>
    <row r="127">
      <c r="A127" s="70" t="n"/>
      <c r="B127" s="70" t="n"/>
      <c r="C127" s="70" t="n"/>
      <c r="D127" s="70" t="n"/>
      <c r="E127" s="70" t="n"/>
      <c r="F127" s="70" t="n"/>
      <c r="G127" s="70" t="n"/>
      <c r="H127" s="70" t="n"/>
      <c r="I127" s="70" t="n"/>
      <c r="J127" s="70" t="n"/>
      <c r="K127" s="70" t="n"/>
      <c r="L127" s="70" t="n"/>
    </row>
    <row r="128">
      <c r="A128" s="70" t="n"/>
      <c r="B128" s="70" t="n"/>
      <c r="C128" s="70" t="n"/>
      <c r="D128" s="70" t="n"/>
      <c r="E128" s="70" t="n"/>
      <c r="F128" s="70" t="n"/>
      <c r="G128" s="70" t="n"/>
      <c r="H128" s="70" t="n"/>
      <c r="I128" s="70" t="n"/>
      <c r="J128" s="70" t="n"/>
      <c r="K128" s="70" t="n"/>
      <c r="L128" s="70" t="n"/>
    </row>
    <row r="129">
      <c r="A129" s="70" t="n"/>
      <c r="B129" s="70" t="n"/>
      <c r="C129" s="70" t="n"/>
      <c r="D129" s="70" t="n"/>
      <c r="E129" s="70" t="n"/>
      <c r="F129" s="70" t="n"/>
      <c r="G129" s="70" t="n"/>
      <c r="H129" s="70" t="n"/>
      <c r="I129" s="70" t="n"/>
      <c r="J129" s="70" t="n"/>
      <c r="K129" s="70" t="n"/>
      <c r="L129" s="70" t="n"/>
    </row>
    <row r="130">
      <c r="A130" s="70" t="n"/>
      <c r="B130" s="70" t="n"/>
      <c r="C130" s="70" t="n"/>
      <c r="D130" s="70" t="n"/>
      <c r="E130" s="70" t="n"/>
      <c r="F130" s="70" t="n"/>
      <c r="G130" s="70" t="n"/>
      <c r="H130" s="70" t="n"/>
      <c r="I130" s="70" t="n"/>
      <c r="J130" s="70" t="n"/>
      <c r="K130" s="70" t="n"/>
      <c r="L130" s="70" t="n"/>
    </row>
    <row r="131">
      <c r="A131" s="70" t="n"/>
      <c r="B131" s="70" t="n"/>
      <c r="C131" s="70" t="n"/>
      <c r="D131" s="70" t="n"/>
      <c r="E131" s="70" t="n"/>
      <c r="F131" s="70" t="n"/>
      <c r="G131" s="70" t="n"/>
      <c r="H131" s="70" t="n"/>
      <c r="I131" s="70" t="n"/>
      <c r="J131" s="70" t="n"/>
      <c r="K131" s="70" t="n"/>
      <c r="L131" s="70" t="n"/>
    </row>
    <row r="132">
      <c r="A132" s="70" t="n"/>
      <c r="B132" s="70" t="n"/>
      <c r="C132" s="70" t="n"/>
      <c r="D132" s="70" t="n"/>
      <c r="E132" s="70" t="n"/>
      <c r="F132" s="70" t="n"/>
      <c r="G132" s="70" t="n"/>
      <c r="H132" s="70" t="n"/>
      <c r="I132" s="70" t="n"/>
      <c r="J132" s="70" t="n"/>
      <c r="K132" s="70" t="n"/>
      <c r="L132" s="70" t="n"/>
    </row>
    <row r="133">
      <c r="A133" s="70" t="n"/>
      <c r="B133" s="70" t="n"/>
      <c r="C133" s="70" t="n"/>
      <c r="D133" s="70" t="n"/>
      <c r="E133" s="70" t="n"/>
      <c r="F133" s="70" t="n"/>
      <c r="G133" s="70" t="n"/>
      <c r="H133" s="70" t="n"/>
      <c r="I133" s="70" t="n"/>
      <c r="J133" s="70" t="n"/>
      <c r="K133" s="70" t="n"/>
      <c r="L133" s="70" t="n"/>
    </row>
    <row r="134">
      <c r="A134" s="70" t="n"/>
      <c r="B134" s="70" t="n"/>
      <c r="C134" s="70" t="n"/>
      <c r="D134" s="70" t="n"/>
      <c r="E134" s="70" t="n"/>
      <c r="F134" s="70" t="n"/>
      <c r="G134" s="70" t="n"/>
      <c r="H134" s="70" t="n"/>
      <c r="I134" s="70" t="n"/>
      <c r="J134" s="70" t="n"/>
      <c r="K134" s="70" t="n"/>
      <c r="L134" s="70" t="n"/>
    </row>
    <row r="135">
      <c r="A135" s="70" t="n"/>
      <c r="B135" s="70" t="n"/>
      <c r="C135" s="70" t="n"/>
      <c r="D135" s="70" t="n"/>
      <c r="E135" s="70" t="n"/>
      <c r="F135" s="70" t="n"/>
      <c r="G135" s="70" t="n"/>
      <c r="H135" s="70" t="n"/>
      <c r="I135" s="70" t="n"/>
      <c r="J135" s="70" t="n"/>
      <c r="K135" s="70" t="n"/>
      <c r="L135" s="70" t="n"/>
    </row>
    <row r="136">
      <c r="A136" s="70" t="n"/>
      <c r="B136" s="70" t="n"/>
      <c r="C136" s="70" t="n"/>
      <c r="D136" s="70" t="n"/>
      <c r="E136" s="70" t="n"/>
      <c r="F136" s="70" t="n"/>
      <c r="G136" s="70" t="n"/>
      <c r="H136" s="70" t="n"/>
      <c r="I136" s="70" t="n"/>
      <c r="J136" s="70" t="n"/>
      <c r="K136" s="70" t="n"/>
      <c r="L136" s="70" t="n"/>
    </row>
    <row r="137">
      <c r="A137" s="70" t="n"/>
      <c r="B137" s="70" t="n"/>
      <c r="C137" s="70" t="n"/>
      <c r="D137" s="70" t="n"/>
      <c r="E137" s="70" t="n"/>
      <c r="F137" s="70" t="n"/>
      <c r="G137" s="70" t="n"/>
      <c r="H137" s="70" t="n"/>
      <c r="I137" s="70" t="n"/>
      <c r="J137" s="70" t="n"/>
      <c r="K137" s="70" t="n"/>
      <c r="L137" s="70" t="n"/>
    </row>
    <row r="138">
      <c r="A138" s="70" t="n"/>
      <c r="B138" s="70" t="n"/>
      <c r="C138" s="70" t="n"/>
      <c r="D138" s="70" t="n"/>
      <c r="E138" s="70" t="n"/>
      <c r="F138" s="70" t="n"/>
      <c r="G138" s="70" t="n"/>
      <c r="H138" s="70" t="n"/>
      <c r="I138" s="70" t="n"/>
      <c r="J138" s="70" t="n"/>
      <c r="K138" s="70" t="n"/>
      <c r="L138" s="70" t="n"/>
    </row>
    <row r="139">
      <c r="A139" s="70" t="n"/>
      <c r="B139" s="70" t="n"/>
      <c r="C139" s="70" t="n"/>
      <c r="D139" s="70" t="n"/>
      <c r="E139" s="70" t="n"/>
      <c r="F139" s="70" t="n"/>
      <c r="G139" s="70" t="n"/>
      <c r="H139" s="70" t="n"/>
      <c r="I139" s="70" t="n"/>
      <c r="J139" s="70" t="n"/>
      <c r="K139" s="70" t="n"/>
      <c r="L139" s="70" t="n"/>
    </row>
    <row r="140">
      <c r="A140" s="70" t="n"/>
      <c r="B140" s="70" t="n"/>
      <c r="C140" s="70" t="n"/>
      <c r="D140" s="70" t="n"/>
      <c r="E140" s="70" t="n"/>
      <c r="F140" s="70" t="n"/>
      <c r="G140" s="70" t="n"/>
      <c r="H140" s="70" t="n"/>
      <c r="I140" s="70" t="n"/>
      <c r="J140" s="70" t="n"/>
      <c r="K140" s="70" t="n"/>
      <c r="L140" s="70" t="n"/>
    </row>
    <row r="141">
      <c r="A141" s="70" t="n"/>
      <c r="B141" s="70" t="n"/>
      <c r="C141" s="70" t="n"/>
      <c r="D141" s="70" t="n"/>
      <c r="E141" s="70" t="n"/>
      <c r="F141" s="70" t="n"/>
      <c r="G141" s="70" t="n"/>
      <c r="H141" s="70" t="n"/>
      <c r="I141" s="70" t="n"/>
      <c r="J141" s="70" t="n"/>
      <c r="K141" s="70" t="n"/>
      <c r="L141" s="70" t="n"/>
    </row>
    <row r="142">
      <c r="A142" s="70" t="n"/>
      <c r="B142" s="70" t="n"/>
      <c r="C142" s="70" t="n"/>
      <c r="D142" s="70" t="n"/>
      <c r="E142" s="70" t="n"/>
      <c r="F142" s="70" t="n"/>
      <c r="G142" s="70" t="n"/>
      <c r="H142" s="70" t="n"/>
      <c r="I142" s="70" t="n"/>
      <c r="J142" s="70" t="n"/>
      <c r="K142" s="70" t="n"/>
      <c r="L142" s="70" t="n"/>
    </row>
    <row r="143">
      <c r="A143" s="70" t="n"/>
      <c r="B143" s="70" t="n"/>
      <c r="C143" s="70" t="n"/>
      <c r="D143" s="70" t="n"/>
      <c r="E143" s="70" t="n"/>
      <c r="F143" s="70" t="n"/>
      <c r="G143" s="70" t="n"/>
      <c r="H143" s="70" t="n"/>
      <c r="I143" s="70" t="n"/>
      <c r="J143" s="70" t="n"/>
      <c r="K143" s="70" t="n"/>
      <c r="L143" s="70" t="n"/>
    </row>
    <row r="144">
      <c r="A144" s="70" t="n"/>
      <c r="B144" s="70" t="n"/>
      <c r="C144" s="70" t="n"/>
      <c r="D144" s="70" t="n"/>
      <c r="E144" s="70" t="n"/>
      <c r="F144" s="70" t="n"/>
      <c r="G144" s="70" t="n"/>
      <c r="H144" s="70" t="n"/>
      <c r="I144" s="70" t="n"/>
      <c r="J144" s="70" t="n"/>
      <c r="K144" s="70" t="n"/>
      <c r="L144" s="70" t="n"/>
    </row>
    <row r="145">
      <c r="A145" s="70" t="n"/>
      <c r="B145" s="70" t="n"/>
      <c r="C145" s="70" t="n"/>
      <c r="D145" s="70" t="n"/>
      <c r="E145" s="70" t="n"/>
      <c r="F145" s="70" t="n"/>
      <c r="G145" s="70" t="n"/>
      <c r="H145" s="70" t="n"/>
      <c r="I145" s="70" t="n"/>
      <c r="J145" s="70" t="n"/>
      <c r="K145" s="70" t="n"/>
      <c r="L145" s="70" t="n"/>
    </row>
    <row r="146">
      <c r="A146" s="70" t="n"/>
      <c r="B146" s="70" t="n"/>
      <c r="C146" s="70" t="n"/>
      <c r="D146" s="70" t="n"/>
      <c r="E146" s="70" t="n"/>
      <c r="F146" s="70" t="n"/>
      <c r="G146" s="70" t="n"/>
      <c r="H146" s="70" t="n"/>
      <c r="I146" s="70" t="n"/>
      <c r="J146" s="70" t="n"/>
      <c r="K146" s="70" t="n"/>
      <c r="L146" s="70" t="n"/>
    </row>
    <row r="147">
      <c r="A147" s="70" t="n"/>
      <c r="B147" s="70" t="n"/>
      <c r="C147" s="70" t="n"/>
      <c r="D147" s="70" t="n"/>
      <c r="E147" s="70" t="n"/>
      <c r="F147" s="70" t="n"/>
      <c r="G147" s="70" t="n"/>
      <c r="H147" s="70" t="n"/>
      <c r="I147" s="70" t="n"/>
      <c r="J147" s="70" t="n"/>
      <c r="K147" s="70" t="n"/>
      <c r="L147" s="70" t="n"/>
    </row>
    <row r="148">
      <c r="A148" s="70" t="n"/>
      <c r="B148" s="70" t="n"/>
      <c r="C148" s="70" t="n"/>
      <c r="D148" s="70" t="n"/>
      <c r="E148" s="70" t="n"/>
      <c r="F148" s="70" t="n"/>
      <c r="G148" s="70" t="n"/>
      <c r="H148" s="70" t="n"/>
      <c r="I148" s="70" t="n"/>
      <c r="J148" s="70" t="n"/>
      <c r="K148" s="70" t="n"/>
      <c r="L148" s="70" t="n"/>
    </row>
    <row r="149">
      <c r="A149" s="70" t="n"/>
      <c r="B149" s="70" t="n"/>
      <c r="C149" s="70" t="n"/>
      <c r="D149" s="70" t="n"/>
      <c r="E149" s="70" t="n"/>
      <c r="F149" s="70" t="n"/>
      <c r="G149" s="70" t="n"/>
      <c r="H149" s="70" t="n"/>
      <c r="I149" s="70" t="n"/>
      <c r="J149" s="70" t="n"/>
      <c r="K149" s="70" t="n"/>
      <c r="L149" s="70" t="n"/>
    </row>
    <row r="150">
      <c r="A150" s="70" t="n"/>
      <c r="B150" s="70" t="n"/>
      <c r="C150" s="70" t="n"/>
      <c r="D150" s="70" t="n"/>
      <c r="E150" s="70" t="n"/>
      <c r="F150" s="70" t="n"/>
      <c r="G150" s="70" t="n"/>
      <c r="H150" s="70" t="n"/>
      <c r="I150" s="70" t="n"/>
      <c r="J150" s="70" t="n"/>
      <c r="K150" s="70" t="n"/>
      <c r="L150" s="70" t="n"/>
    </row>
    <row r="151">
      <c r="A151" s="70" t="n"/>
      <c r="B151" s="70" t="n"/>
      <c r="C151" s="70" t="n"/>
      <c r="D151" s="70" t="n"/>
      <c r="E151" s="70" t="n"/>
      <c r="F151" s="70" t="n"/>
      <c r="G151" s="70" t="n"/>
      <c r="H151" s="70" t="n"/>
      <c r="I151" s="70" t="n"/>
      <c r="J151" s="70" t="n"/>
      <c r="K151" s="70" t="n"/>
      <c r="L151" s="70" t="n"/>
    </row>
    <row r="152">
      <c r="A152" s="70" t="n"/>
      <c r="B152" s="70" t="n"/>
      <c r="C152" s="70" t="n"/>
      <c r="D152" s="70" t="n"/>
      <c r="E152" s="70" t="n"/>
      <c r="F152" s="70" t="n"/>
      <c r="G152" s="70" t="n"/>
      <c r="H152" s="70" t="n"/>
      <c r="I152" s="70" t="n"/>
      <c r="J152" s="70" t="n"/>
      <c r="K152" s="70" t="n"/>
      <c r="L152" s="70" t="n"/>
    </row>
    <row r="153">
      <c r="A153" s="70" t="n"/>
      <c r="B153" s="70" t="n"/>
      <c r="C153" s="70" t="n"/>
      <c r="D153" s="70" t="n"/>
      <c r="E153" s="70" t="n"/>
      <c r="F153" s="70" t="n"/>
      <c r="G153" s="70" t="n"/>
      <c r="H153" s="70" t="n"/>
      <c r="I153" s="70" t="n"/>
      <c r="J153" s="70" t="n"/>
      <c r="K153" s="70" t="n"/>
      <c r="L153" s="70" t="n"/>
    </row>
    <row r="154">
      <c r="A154" s="70" t="n"/>
      <c r="B154" s="70" t="n"/>
      <c r="C154" s="70" t="n"/>
      <c r="D154" s="70" t="n"/>
      <c r="E154" s="70" t="n"/>
      <c r="F154" s="70" t="n"/>
      <c r="G154" s="70" t="n"/>
      <c r="H154" s="70" t="n"/>
      <c r="I154" s="70" t="n"/>
      <c r="J154" s="70" t="n"/>
      <c r="K154" s="70" t="n"/>
      <c r="L154" s="70" t="n"/>
    </row>
    <row r="155">
      <c r="A155" s="70" t="n"/>
      <c r="B155" s="70" t="n"/>
      <c r="C155" s="70" t="n"/>
      <c r="D155" s="70" t="n"/>
      <c r="E155" s="70" t="n"/>
      <c r="F155" s="70" t="n"/>
      <c r="G155" s="70" t="n"/>
      <c r="H155" s="70" t="n"/>
      <c r="I155" s="70" t="n"/>
      <c r="J155" s="70" t="n"/>
      <c r="K155" s="70" t="n"/>
      <c r="L155" s="70" t="n"/>
    </row>
    <row r="156">
      <c r="A156" s="70" t="n"/>
      <c r="B156" s="70" t="n"/>
      <c r="C156" s="70" t="n"/>
      <c r="D156" s="70" t="n"/>
      <c r="E156" s="70" t="n"/>
      <c r="F156" s="70" t="n"/>
      <c r="G156" s="70" t="n"/>
      <c r="H156" s="70" t="n"/>
      <c r="I156" s="70" t="n"/>
      <c r="J156" s="70" t="n"/>
      <c r="K156" s="70" t="n"/>
      <c r="L156" s="70" t="n"/>
    </row>
    <row r="157">
      <c r="A157" s="70" t="n"/>
      <c r="B157" s="70" t="n"/>
      <c r="C157" s="70" t="n"/>
      <c r="D157" s="70" t="n"/>
      <c r="E157" s="70" t="n"/>
      <c r="F157" s="70" t="n"/>
      <c r="G157" s="70" t="n"/>
      <c r="H157" s="70" t="n"/>
      <c r="I157" s="70" t="n"/>
      <c r="J157" s="70" t="n"/>
      <c r="K157" s="70" t="n"/>
      <c r="L157" s="70" t="n"/>
    </row>
    <row r="158">
      <c r="A158" s="70" t="n"/>
      <c r="B158" s="70" t="n"/>
      <c r="C158" s="70" t="n"/>
      <c r="D158" s="70" t="n"/>
      <c r="E158" s="70" t="n"/>
      <c r="F158" s="70" t="n"/>
      <c r="G158" s="70" t="n"/>
      <c r="H158" s="70" t="n"/>
      <c r="I158" s="70" t="n"/>
      <c r="J158" s="70" t="n"/>
      <c r="K158" s="70" t="n"/>
      <c r="L158" s="70" t="n"/>
    </row>
    <row r="159">
      <c r="A159" s="70" t="n"/>
      <c r="B159" s="70" t="n"/>
      <c r="C159" s="70" t="n"/>
      <c r="D159" s="70" t="n"/>
      <c r="E159" s="70" t="n"/>
      <c r="F159" s="70" t="n"/>
      <c r="G159" s="70" t="n"/>
      <c r="H159" s="70" t="n"/>
      <c r="I159" s="70" t="n"/>
      <c r="J159" s="70" t="n"/>
      <c r="K159" s="70" t="n"/>
      <c r="L159" s="70" t="n"/>
    </row>
    <row r="160">
      <c r="A160" s="70" t="n"/>
      <c r="B160" s="70" t="n"/>
      <c r="C160" s="70" t="n"/>
      <c r="D160" s="70" t="n"/>
      <c r="E160" s="70" t="n"/>
      <c r="F160" s="70" t="n"/>
      <c r="G160" s="70" t="n"/>
      <c r="H160" s="70" t="n"/>
      <c r="I160" s="70" t="n"/>
      <c r="J160" s="70" t="n"/>
      <c r="K160" s="70" t="n"/>
      <c r="L160" s="70" t="n"/>
    </row>
    <row r="161">
      <c r="A161" s="70" t="n"/>
      <c r="B161" s="70" t="n"/>
      <c r="C161" s="70" t="n"/>
      <c r="D161" s="70" t="n"/>
      <c r="E161" s="70" t="n"/>
      <c r="F161" s="70" t="n"/>
      <c r="G161" s="70" t="n"/>
      <c r="H161" s="70" t="n"/>
      <c r="I161" s="70" t="n"/>
      <c r="J161" s="70" t="n"/>
      <c r="K161" s="70" t="n"/>
      <c r="L161" s="70" t="n"/>
    </row>
    <row r="162">
      <c r="A162" s="70" t="n"/>
      <c r="B162" s="70" t="n"/>
      <c r="C162" s="70" t="n"/>
      <c r="D162" s="70" t="n"/>
      <c r="E162" s="70" t="n"/>
      <c r="F162" s="70" t="n"/>
      <c r="G162" s="70" t="n"/>
      <c r="H162" s="70" t="n"/>
      <c r="I162" s="70" t="n"/>
      <c r="J162" s="70" t="n"/>
      <c r="K162" s="70" t="n"/>
      <c r="L162" s="70" t="n"/>
    </row>
    <row r="163">
      <c r="A163" s="70" t="n"/>
      <c r="B163" s="70" t="n"/>
      <c r="C163" s="70" t="n"/>
      <c r="D163" s="70" t="n"/>
      <c r="E163" s="70" t="n"/>
      <c r="F163" s="70" t="n"/>
      <c r="G163" s="70" t="n"/>
      <c r="H163" s="70" t="n"/>
      <c r="I163" s="70" t="n"/>
      <c r="J163" s="70" t="n"/>
      <c r="K163" s="70" t="n"/>
      <c r="L163" s="70" t="n"/>
    </row>
    <row r="164">
      <c r="A164" s="70" t="n"/>
      <c r="B164" s="70" t="n"/>
      <c r="C164" s="70" t="n"/>
      <c r="D164" s="70" t="n"/>
      <c r="E164" s="70" t="n"/>
      <c r="F164" s="70" t="n"/>
      <c r="G164" s="70" t="n"/>
      <c r="H164" s="70" t="n"/>
      <c r="I164" s="70" t="n"/>
      <c r="J164" s="70" t="n"/>
      <c r="K164" s="70" t="n"/>
      <c r="L164" s="70" t="n"/>
    </row>
    <row r="165">
      <c r="A165" s="70" t="n"/>
      <c r="B165" s="70" t="n"/>
      <c r="C165" s="70" t="n"/>
      <c r="D165" s="70" t="n"/>
      <c r="E165" s="70" t="n"/>
      <c r="F165" s="70" t="n"/>
      <c r="G165" s="70" t="n"/>
      <c r="H165" s="70" t="n"/>
      <c r="I165" s="70" t="n"/>
      <c r="J165" s="70" t="n"/>
      <c r="K165" s="70" t="n"/>
      <c r="L165" s="70" t="n"/>
    </row>
    <row r="166">
      <c r="A166" s="70" t="n"/>
      <c r="B166" s="70" t="n"/>
      <c r="C166" s="70" t="n"/>
      <c r="D166" s="70" t="n"/>
      <c r="E166" s="70" t="n"/>
      <c r="F166" s="70" t="n"/>
      <c r="G166" s="70" t="n"/>
      <c r="H166" s="70" t="n"/>
      <c r="I166" s="70" t="n"/>
      <c r="J166" s="70" t="n"/>
      <c r="K166" s="70" t="n"/>
      <c r="L166" s="70" t="n"/>
    </row>
    <row r="167">
      <c r="A167" s="70" t="n"/>
      <c r="B167" s="70" t="n"/>
      <c r="C167" s="70" t="n"/>
      <c r="D167" s="70" t="n"/>
      <c r="E167" s="70" t="n"/>
      <c r="F167" s="70" t="n"/>
      <c r="G167" s="70" t="n"/>
      <c r="H167" s="70" t="n"/>
      <c r="I167" s="70" t="n"/>
      <c r="J167" s="70" t="n"/>
      <c r="K167" s="70" t="n"/>
      <c r="L167" s="70" t="n"/>
    </row>
    <row r="168">
      <c r="A168" s="70" t="n"/>
      <c r="B168" s="70" t="n"/>
      <c r="C168" s="70" t="n"/>
      <c r="D168" s="70" t="n"/>
      <c r="E168" s="70" t="n"/>
      <c r="F168" s="70" t="n"/>
      <c r="G168" s="70" t="n"/>
      <c r="H168" s="70" t="n"/>
      <c r="I168" s="70" t="n"/>
      <c r="J168" s="70" t="n"/>
      <c r="K168" s="70" t="n"/>
      <c r="L168" s="70" t="n"/>
    </row>
    <row r="169">
      <c r="A169" s="70" t="n"/>
      <c r="B169" s="70" t="n"/>
      <c r="C169" s="70" t="n"/>
      <c r="D169" s="70" t="n"/>
      <c r="E169" s="70" t="n"/>
      <c r="F169" s="70" t="n"/>
      <c r="G169" s="70" t="n"/>
      <c r="H169" s="70" t="n"/>
      <c r="I169" s="70" t="n"/>
      <c r="J169" s="70" t="n"/>
      <c r="K169" s="70" t="n"/>
      <c r="L169" s="70" t="n"/>
    </row>
    <row r="170">
      <c r="A170" s="70" t="n"/>
      <c r="B170" s="70" t="n"/>
      <c r="C170" s="70" t="n"/>
      <c r="D170" s="70" t="n"/>
      <c r="E170" s="70" t="n"/>
      <c r="F170" s="70" t="n"/>
      <c r="G170" s="70" t="n"/>
      <c r="H170" s="70" t="n"/>
      <c r="I170" s="70" t="n"/>
      <c r="J170" s="70" t="n"/>
      <c r="K170" s="70" t="n"/>
      <c r="L170" s="70" t="n"/>
    </row>
    <row r="171">
      <c r="A171" s="70" t="n"/>
      <c r="B171" s="70" t="n"/>
      <c r="C171" s="70" t="n"/>
      <c r="D171" s="70" t="n"/>
      <c r="E171" s="70" t="n"/>
      <c r="F171" s="70" t="n"/>
      <c r="G171" s="70" t="n"/>
      <c r="H171" s="70" t="n"/>
      <c r="I171" s="70" t="n"/>
      <c r="J171" s="70" t="n"/>
      <c r="K171" s="70" t="n"/>
      <c r="L171" s="70" t="n"/>
    </row>
    <row r="172">
      <c r="A172" s="70" t="n"/>
      <c r="B172" s="70" t="n"/>
      <c r="C172" s="70" t="n"/>
      <c r="D172" s="70" t="n"/>
      <c r="E172" s="70" t="n"/>
      <c r="F172" s="70" t="n"/>
      <c r="G172" s="70" t="n"/>
      <c r="H172" s="70" t="n"/>
      <c r="I172" s="70" t="n"/>
      <c r="J172" s="70" t="n"/>
      <c r="K172" s="70" t="n"/>
      <c r="L172" s="70" t="n"/>
    </row>
    <row r="173">
      <c r="A173" s="70" t="n"/>
      <c r="B173" s="70" t="n"/>
      <c r="C173" s="70" t="n"/>
      <c r="D173" s="70" t="n"/>
      <c r="E173" s="70" t="n"/>
      <c r="F173" s="70" t="n"/>
      <c r="G173" s="70" t="n"/>
      <c r="H173" s="70" t="n"/>
      <c r="I173" s="70" t="n"/>
      <c r="J173" s="70" t="n"/>
      <c r="K173" s="70" t="n"/>
      <c r="L173" s="70" t="n"/>
    </row>
    <row r="174">
      <c r="A174" s="70" t="n"/>
      <c r="B174" s="70" t="n"/>
      <c r="C174" s="70" t="n"/>
      <c r="D174" s="70" t="n"/>
      <c r="E174" s="70" t="n"/>
      <c r="F174" s="70" t="n"/>
      <c r="G174" s="70" t="n"/>
      <c r="H174" s="70" t="n"/>
      <c r="I174" s="70" t="n"/>
      <c r="J174" s="70" t="n"/>
      <c r="K174" s="70" t="n"/>
      <c r="L174" s="70" t="n"/>
    </row>
    <row r="175">
      <c r="A175" s="70" t="n"/>
      <c r="B175" s="70" t="n"/>
      <c r="C175" s="70" t="n"/>
      <c r="D175" s="70" t="n"/>
      <c r="E175" s="70" t="n"/>
      <c r="F175" s="70" t="n"/>
      <c r="G175" s="70" t="n"/>
      <c r="H175" s="70" t="n"/>
      <c r="I175" s="70" t="n"/>
      <c r="J175" s="70" t="n"/>
      <c r="K175" s="70" t="n"/>
      <c r="L175" s="70" t="n"/>
    </row>
    <row r="176">
      <c r="A176" s="70" t="n"/>
      <c r="B176" s="70" t="n"/>
      <c r="C176" s="70" t="n"/>
      <c r="D176" s="70" t="n"/>
      <c r="E176" s="70" t="n"/>
      <c r="F176" s="70" t="n"/>
      <c r="G176" s="70" t="n"/>
      <c r="H176" s="70" t="n"/>
      <c r="I176" s="70" t="n"/>
      <c r="J176" s="70" t="n"/>
      <c r="K176" s="70" t="n"/>
      <c r="L176" s="70" t="n"/>
    </row>
    <row r="177">
      <c r="A177" s="70" t="n"/>
      <c r="B177" s="70" t="n"/>
      <c r="C177" s="70" t="n"/>
      <c r="D177" s="70" t="n"/>
      <c r="E177" s="70" t="n"/>
      <c r="F177" s="70" t="n"/>
      <c r="G177" s="70" t="n"/>
      <c r="H177" s="70" t="n"/>
      <c r="I177" s="70" t="n"/>
      <c r="J177" s="70" t="n"/>
      <c r="K177" s="70" t="n"/>
      <c r="L177" s="70" t="n"/>
    </row>
    <row r="178">
      <c r="A178" s="70" t="n"/>
      <c r="B178" s="70" t="n"/>
      <c r="C178" s="70" t="n"/>
      <c r="D178" s="70" t="n"/>
      <c r="E178" s="70" t="n"/>
      <c r="F178" s="70" t="n"/>
      <c r="G178" s="70" t="n"/>
      <c r="H178" s="70" t="n"/>
      <c r="I178" s="70" t="n"/>
      <c r="J178" s="70" t="n"/>
      <c r="K178" s="70" t="n"/>
      <c r="L178" s="70" t="n"/>
    </row>
    <row r="179">
      <c r="A179" s="70" t="n"/>
      <c r="B179" s="70" t="n"/>
      <c r="C179" s="70" t="n"/>
      <c r="D179" s="70" t="n"/>
      <c r="E179" s="70" t="n"/>
      <c r="F179" s="70" t="n"/>
      <c r="G179" s="70" t="n"/>
      <c r="H179" s="70" t="n"/>
      <c r="I179" s="70" t="n"/>
      <c r="J179" s="70" t="n"/>
      <c r="K179" s="70" t="n"/>
      <c r="L179" s="70" t="n"/>
    </row>
    <row r="180">
      <c r="A180" s="70" t="n"/>
      <c r="B180" s="70" t="n"/>
      <c r="C180" s="70" t="n"/>
      <c r="D180" s="70" t="n"/>
      <c r="E180" s="70" t="n"/>
      <c r="F180" s="70" t="n"/>
      <c r="G180" s="70" t="n"/>
      <c r="H180" s="70" t="n"/>
      <c r="I180" s="70" t="n"/>
      <c r="J180" s="70" t="n"/>
      <c r="K180" s="70" t="n"/>
      <c r="L180" s="70" t="n"/>
    </row>
    <row r="181">
      <c r="A181" s="70" t="n"/>
      <c r="B181" s="70" t="n"/>
      <c r="C181" s="70" t="n"/>
      <c r="D181" s="70" t="n"/>
      <c r="E181" s="70" t="n"/>
      <c r="F181" s="70" t="n"/>
      <c r="G181" s="70" t="n"/>
      <c r="H181" s="70" t="n"/>
      <c r="I181" s="70" t="n"/>
      <c r="J181" s="70" t="n"/>
      <c r="K181" s="70" t="n"/>
      <c r="L181" s="70" t="n"/>
    </row>
    <row r="182">
      <c r="A182" s="70" t="n"/>
      <c r="B182" s="70" t="n"/>
      <c r="C182" s="70" t="n"/>
      <c r="D182" s="70" t="n"/>
      <c r="E182" s="70" t="n"/>
      <c r="F182" s="70" t="n"/>
      <c r="G182" s="70" t="n"/>
      <c r="H182" s="70" t="n"/>
      <c r="I182" s="70" t="n"/>
      <c r="J182" s="70" t="n"/>
      <c r="K182" s="70" t="n"/>
      <c r="L182" s="70" t="n"/>
    </row>
    <row r="183">
      <c r="A183" s="70" t="n"/>
      <c r="B183" s="70" t="n"/>
      <c r="C183" s="70" t="n"/>
      <c r="D183" s="70" t="n"/>
      <c r="E183" s="70" t="n"/>
      <c r="F183" s="70" t="n"/>
      <c r="G183" s="70" t="n"/>
      <c r="H183" s="70" t="n"/>
      <c r="I183" s="70" t="n"/>
      <c r="J183" s="70" t="n"/>
      <c r="K183" s="70" t="n"/>
      <c r="L183" s="70" t="n"/>
    </row>
    <row r="184">
      <c r="A184" s="70" t="n"/>
      <c r="B184" s="70" t="n"/>
      <c r="C184" s="70" t="n"/>
      <c r="D184" s="70" t="n"/>
      <c r="E184" s="70" t="n"/>
      <c r="F184" s="70" t="n"/>
      <c r="G184" s="70" t="n"/>
      <c r="H184" s="70" t="n"/>
      <c r="I184" s="70" t="n"/>
      <c r="J184" s="70" t="n"/>
      <c r="K184" s="70" t="n"/>
      <c r="L184" s="70" t="n"/>
    </row>
    <row r="185">
      <c r="A185" s="70" t="n"/>
      <c r="B185" s="70" t="n"/>
      <c r="C185" s="70" t="n"/>
      <c r="D185" s="70" t="n"/>
      <c r="E185" s="70" t="n"/>
      <c r="F185" s="70" t="n"/>
      <c r="G185" s="70" t="n"/>
      <c r="H185" s="70" t="n"/>
      <c r="I185" s="70" t="n"/>
      <c r="J185" s="70" t="n"/>
      <c r="K185" s="70" t="n"/>
      <c r="L185" s="70" t="n"/>
    </row>
    <row r="186">
      <c r="A186" s="70" t="n"/>
      <c r="B186" s="70" t="n"/>
      <c r="C186" s="70" t="n"/>
      <c r="D186" s="70" t="n"/>
      <c r="E186" s="70" t="n"/>
      <c r="F186" s="70" t="n"/>
      <c r="G186" s="70" t="n"/>
      <c r="H186" s="70" t="n"/>
      <c r="I186" s="70" t="n"/>
      <c r="J186" s="70" t="n"/>
      <c r="K186" s="70" t="n"/>
      <c r="L186" s="70" t="n"/>
    </row>
    <row r="187">
      <c r="A187" s="70" t="n"/>
      <c r="B187" s="70" t="n"/>
      <c r="C187" s="70" t="n"/>
      <c r="D187" s="70" t="n"/>
      <c r="E187" s="70" t="n"/>
      <c r="F187" s="70" t="n"/>
      <c r="G187" s="70" t="n"/>
      <c r="H187" s="70" t="n"/>
      <c r="I187" s="70" t="n"/>
      <c r="J187" s="70" t="n"/>
      <c r="K187" s="70" t="n"/>
      <c r="L187" s="70" t="n"/>
    </row>
    <row r="188">
      <c r="A188" s="70" t="n"/>
      <c r="B188" s="70" t="n"/>
      <c r="C188" s="70" t="n"/>
      <c r="D188" s="70" t="n"/>
      <c r="E188" s="70" t="n"/>
      <c r="F188" s="70" t="n"/>
      <c r="G188" s="70" t="n"/>
      <c r="H188" s="70" t="n"/>
      <c r="I188" s="70" t="n"/>
      <c r="J188" s="70" t="n"/>
      <c r="K188" s="70" t="n"/>
      <c r="L188" s="70" t="n"/>
    </row>
    <row r="189">
      <c r="A189" s="70" t="n"/>
      <c r="B189" s="70" t="n"/>
      <c r="C189" s="70" t="n"/>
      <c r="D189" s="70" t="n"/>
      <c r="E189" s="70" t="n"/>
      <c r="F189" s="70" t="n"/>
      <c r="G189" s="70" t="n"/>
      <c r="H189" s="70" t="n"/>
      <c r="I189" s="70" t="n"/>
      <c r="J189" s="70" t="n"/>
      <c r="K189" s="70" t="n"/>
      <c r="L189" s="70" t="n"/>
    </row>
    <row r="190">
      <c r="A190" s="70" t="n"/>
      <c r="B190" s="70" t="n"/>
      <c r="C190" s="70" t="n"/>
      <c r="D190" s="70" t="n"/>
      <c r="E190" s="70" t="n"/>
      <c r="F190" s="70" t="n"/>
      <c r="G190" s="70" t="n"/>
      <c r="H190" s="70" t="n"/>
      <c r="I190" s="70" t="n"/>
      <c r="J190" s="70" t="n"/>
      <c r="K190" s="70" t="n"/>
      <c r="L190" s="70" t="n"/>
    </row>
    <row r="191">
      <c r="A191" s="70" t="n"/>
      <c r="B191" s="70" t="n"/>
      <c r="C191" s="70" t="n"/>
      <c r="D191" s="70" t="n"/>
      <c r="E191" s="70" t="n"/>
      <c r="F191" s="70" t="n"/>
      <c r="G191" s="70" t="n"/>
      <c r="H191" s="70" t="n"/>
      <c r="I191" s="70" t="n"/>
      <c r="J191" s="70" t="n"/>
      <c r="K191" s="70" t="n"/>
      <c r="L191" s="70" t="n"/>
    </row>
    <row r="192">
      <c r="A192" s="70" t="n"/>
      <c r="B192" s="70" t="n"/>
      <c r="C192" s="70" t="n"/>
      <c r="D192" s="70" t="n"/>
      <c r="E192" s="70" t="n"/>
      <c r="F192" s="70" t="n"/>
      <c r="G192" s="70" t="n"/>
      <c r="H192" s="70" t="n"/>
      <c r="I192" s="70" t="n"/>
      <c r="J192" s="70" t="n"/>
      <c r="K192" s="70" t="n"/>
      <c r="L192" s="70" t="n"/>
    </row>
    <row r="193">
      <c r="A193" s="70" t="n"/>
      <c r="B193" s="70" t="n"/>
      <c r="C193" s="70" t="n"/>
      <c r="D193" s="70" t="n"/>
      <c r="E193" s="70" t="n"/>
      <c r="F193" s="70" t="n"/>
      <c r="G193" s="70" t="n"/>
      <c r="H193" s="70" t="n"/>
      <c r="I193" s="70" t="n"/>
      <c r="J193" s="70" t="n"/>
      <c r="K193" s="70" t="n"/>
      <c r="L193" s="70" t="n"/>
    </row>
    <row r="194">
      <c r="A194" s="70" t="n"/>
      <c r="B194" s="70" t="n"/>
      <c r="C194" s="70" t="n"/>
      <c r="D194" s="70" t="n"/>
      <c r="E194" s="70" t="n"/>
      <c r="F194" s="70" t="n"/>
      <c r="G194" s="70" t="n"/>
      <c r="H194" s="70" t="n"/>
      <c r="I194" s="70" t="n"/>
      <c r="J194" s="70" t="n"/>
      <c r="K194" s="70" t="n"/>
      <c r="L194" s="70" t="n"/>
    </row>
    <row r="195">
      <c r="A195" s="70" t="n"/>
      <c r="B195" s="70" t="n"/>
      <c r="C195" s="70" t="n"/>
      <c r="D195" s="70" t="n"/>
      <c r="E195" s="70" t="n"/>
      <c r="F195" s="70" t="n"/>
      <c r="G195" s="70" t="n"/>
      <c r="H195" s="70" t="n"/>
      <c r="I195" s="70" t="n"/>
      <c r="J195" s="70" t="n"/>
      <c r="K195" s="70" t="n"/>
      <c r="L195" s="70" t="n"/>
    </row>
    <row r="196">
      <c r="A196" s="70" t="n"/>
      <c r="B196" s="70" t="n"/>
      <c r="C196" s="70" t="n"/>
      <c r="D196" s="70" t="n"/>
      <c r="E196" s="70" t="n"/>
      <c r="F196" s="70" t="n"/>
      <c r="G196" s="70" t="n"/>
      <c r="H196" s="70" t="n"/>
      <c r="I196" s="70" t="n"/>
      <c r="J196" s="70" t="n"/>
      <c r="K196" s="70" t="n"/>
      <c r="L196" s="70" t="n"/>
    </row>
    <row r="197">
      <c r="A197" s="70" t="n"/>
      <c r="B197" s="70" t="n"/>
      <c r="C197" s="70" t="n"/>
      <c r="D197" s="70" t="n"/>
      <c r="E197" s="70" t="n"/>
      <c r="F197" s="70" t="n"/>
      <c r="G197" s="70" t="n"/>
      <c r="H197" s="70" t="n"/>
      <c r="I197" s="70" t="n"/>
      <c r="J197" s="70" t="n"/>
      <c r="K197" s="70" t="n"/>
      <c r="L197" s="70" t="n"/>
    </row>
    <row r="198">
      <c r="A198" s="70" t="n"/>
      <c r="B198" s="70" t="n"/>
      <c r="C198" s="70" t="n"/>
      <c r="D198" s="70" t="n"/>
      <c r="E198" s="70" t="n"/>
      <c r="F198" s="70" t="n"/>
      <c r="G198" s="70" t="n"/>
      <c r="H198" s="70" t="n"/>
      <c r="I198" s="70" t="n"/>
      <c r="J198" s="70" t="n"/>
      <c r="K198" s="70" t="n"/>
      <c r="L198" s="70" t="n"/>
    </row>
    <row r="199">
      <c r="A199" s="70" t="n"/>
      <c r="B199" s="70" t="n"/>
      <c r="C199" s="70" t="n"/>
      <c r="D199" s="70" t="n"/>
      <c r="E199" s="70" t="n"/>
      <c r="F199" s="70" t="n"/>
      <c r="G199" s="70" t="n"/>
      <c r="H199" s="70" t="n"/>
      <c r="I199" s="70" t="n"/>
      <c r="J199" s="70" t="n"/>
      <c r="K199" s="70" t="n"/>
      <c r="L199" s="70" t="n"/>
    </row>
    <row r="200">
      <c r="A200" s="70" t="n"/>
      <c r="B200" s="70" t="n"/>
      <c r="C200" s="70" t="n"/>
      <c r="D200" s="70" t="n"/>
      <c r="E200" s="70" t="n"/>
      <c r="F200" s="70" t="n"/>
      <c r="G200" s="70" t="n"/>
      <c r="H200" s="70" t="n"/>
      <c r="I200" s="70" t="n"/>
      <c r="J200" s="70" t="n"/>
      <c r="K200" s="70" t="n"/>
      <c r="L200" s="70" t="n"/>
    </row>
  </sheetData>
  <mergeCells count="6">
    <mergeCell ref="A11:C11"/>
    <mergeCell ref="D12:H17"/>
    <mergeCell ref="D11:H11"/>
    <mergeCell ref="D4:H8"/>
    <mergeCell ref="A1:H1"/>
    <mergeCell ref="D3:H3"/>
  </mergeCells>
  <conditionalFormatting sqref="H13:H24">
    <cfRule type="expression" priority="1" dxfId="0">
      <formula>H13="COMPRAR"</formula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0"/>
  <sheetViews>
    <sheetView workbookViewId="0">
      <selection activeCell="A1" sqref="A1"/>
    </sheetView>
  </sheetViews>
  <sheetFormatPr baseColWidth="8" defaultRowHeight="15"/>
  <cols>
    <col width="12" customWidth="1" style="94" min="1" max="1"/>
    <col width="26" customWidth="1" style="94" min="2" max="2"/>
    <col width="22" customWidth="1" style="94" min="3" max="3"/>
    <col width="10" customWidth="1" style="94" min="4" max="4"/>
    <col width="14" customWidth="1" style="94" min="5" max="5"/>
    <col width="12" customWidth="1" style="94" min="6" max="6"/>
    <col width="12" customWidth="1" style="94" min="7" max="7"/>
    <col width="14" customWidth="1" style="94" min="8" max="8"/>
    <col width="14" customWidth="1" style="94" min="9" max="9"/>
    <col width="13" customWidth="1" style="94" min="10" max="10"/>
    <col width="14" customWidth="1" style="94" min="11" max="11"/>
    <col width="32" customWidth="1" style="94" min="12" max="12"/>
    <col width="2" customWidth="1" style="94" min="13" max="13"/>
    <col width="2" customWidth="1" style="94" min="14" max="14"/>
  </cols>
  <sheetData>
    <row r="1">
      <c r="A1" s="6" t="inlineStr">
        <is>
          <t>Código</t>
        </is>
      </c>
      <c r="B1" s="6" t="inlineStr">
        <is>
          <t>Produto</t>
        </is>
      </c>
      <c r="C1" s="6" t="inlineStr">
        <is>
          <t>Categoria</t>
        </is>
      </c>
      <c r="D1" s="6" t="inlineStr">
        <is>
          <t>Unidade</t>
        </is>
      </c>
      <c r="E1" s="6" t="inlineStr">
        <is>
          <t>Estoque Inicial</t>
        </is>
      </c>
      <c r="F1" s="6" t="inlineStr">
        <is>
          <t>Entradas</t>
        </is>
      </c>
      <c r="G1" s="6" t="inlineStr">
        <is>
          <t>Saídas</t>
        </is>
      </c>
      <c r="H1" s="6" t="inlineStr">
        <is>
          <t>Estoque Atual</t>
        </is>
      </c>
      <c r="I1" s="6" t="inlineStr">
        <is>
          <t>Estoque Mínimo</t>
        </is>
      </c>
      <c r="J1" s="6" t="inlineStr">
        <is>
          <t>Comprar?</t>
        </is>
      </c>
      <c r="K1" s="6" t="inlineStr">
        <is>
          <t>Última Compra</t>
        </is>
      </c>
      <c r="L1" s="6" t="inlineStr">
        <is>
          <t>Observações</t>
        </is>
      </c>
      <c r="M1" s="100" t="n"/>
      <c r="N1" s="100" t="n"/>
    </row>
    <row r="2">
      <c r="A2" s="71" t="inlineStr">
        <is>
          <t>LIMP-001</t>
        </is>
      </c>
      <c r="B2" s="71" t="inlineStr">
        <is>
          <t>Água sanitária</t>
        </is>
      </c>
      <c r="C2" s="71" t="inlineStr">
        <is>
          <t>Cloro/Água sanitária</t>
        </is>
      </c>
      <c r="D2" s="71" t="inlineStr">
        <is>
          <t>L</t>
        </is>
      </c>
      <c r="E2" s="112" t="n">
        <v>2</v>
      </c>
      <c r="F2" s="112" t="n">
        <v>5</v>
      </c>
      <c r="G2" s="112" t="n">
        <v>0</v>
      </c>
      <c r="H2" s="112" t="n">
        <v>7</v>
      </c>
      <c r="I2" s="112" t="n">
        <v>1</v>
      </c>
      <c r="J2" s="71" t="inlineStr">
        <is>
          <t>OK</t>
        </is>
      </c>
      <c r="K2" s="113" t="n">
        <v>46171</v>
      </c>
      <c r="L2" s="71" t="inlineStr">
        <is>
          <t>Essencial para desinfecção</t>
        </is>
      </c>
      <c r="M2" s="103">
        <f>IF($J2="COMPRAR",COUNTIF($J$2:J2,"COMPRAR"),"")</f>
        <v/>
      </c>
      <c r="N2" s="103">
        <f>IF($M2="","",$A2)</f>
        <v/>
      </c>
    </row>
    <row r="3">
      <c r="A3" s="71" t="inlineStr">
        <is>
          <t>LIMP-002</t>
        </is>
      </c>
      <c r="B3" s="71" t="inlineStr">
        <is>
          <t>Desinfetante</t>
        </is>
      </c>
      <c r="C3" s="71" t="inlineStr">
        <is>
          <t>Desinfetante</t>
        </is>
      </c>
      <c r="D3" s="71" t="inlineStr">
        <is>
          <t>L</t>
        </is>
      </c>
      <c r="E3" s="112" t="n">
        <v>3</v>
      </c>
      <c r="F3" s="112" t="n">
        <v>0</v>
      </c>
      <c r="G3" s="112" t="n">
        <v>1</v>
      </c>
      <c r="H3" s="112" t="n">
        <v>2</v>
      </c>
      <c r="I3" s="112" t="n">
        <v>2</v>
      </c>
      <c r="J3" s="71" t="inlineStr">
        <is>
          <t>COMPRAR</t>
        </is>
      </c>
      <c r="K3" s="113" t="inlineStr"/>
      <c r="L3" s="71" t="str"/>
      <c r="M3" s="103">
        <f>IF($J3="COMPRAR",COUNTIF($J$2:J3,"COMPRAR"),"")</f>
        <v/>
      </c>
      <c r="N3" s="103">
        <f>IF($M3="","",$A3)</f>
        <v/>
      </c>
    </row>
    <row r="4">
      <c r="A4" s="71" t="inlineStr">
        <is>
          <t>LIMP-003</t>
        </is>
      </c>
      <c r="B4" s="71" t="inlineStr">
        <is>
          <t>Detergente neutro</t>
        </is>
      </c>
      <c r="C4" s="71" t="inlineStr">
        <is>
          <t>Detergente</t>
        </is>
      </c>
      <c r="D4" s="71" t="inlineStr">
        <is>
          <t>L</t>
        </is>
      </c>
      <c r="E4" s="112" t="n">
        <v>2</v>
      </c>
      <c r="F4" s="112" t="n">
        <v>0</v>
      </c>
      <c r="G4" s="112" t="n">
        <v>0</v>
      </c>
      <c r="H4" s="112" t="n">
        <v>2</v>
      </c>
      <c r="I4" s="112" t="n">
        <v>1</v>
      </c>
      <c r="J4" s="71" t="inlineStr">
        <is>
          <t>OK</t>
        </is>
      </c>
      <c r="K4" s="113" t="inlineStr"/>
      <c r="L4" s="71" t="str"/>
      <c r="M4" s="103">
        <f>IF($J4="COMPRAR",COUNTIF($J$2:J4,"COMPRAR"),"")</f>
        <v/>
      </c>
      <c r="N4" s="103">
        <f>IF($M4="","",$A4)</f>
        <v/>
      </c>
    </row>
    <row r="5">
      <c r="A5" s="71" t="inlineStr">
        <is>
          <t>LIMP-004</t>
        </is>
      </c>
      <c r="B5" s="71" t="inlineStr">
        <is>
          <t>Desengordurante</t>
        </is>
      </c>
      <c r="C5" s="71" t="inlineStr">
        <is>
          <t>Desengordurante</t>
        </is>
      </c>
      <c r="D5" s="71" t="inlineStr">
        <is>
          <t>L</t>
        </is>
      </c>
      <c r="E5" s="112" t="n">
        <v>1</v>
      </c>
      <c r="F5" s="112" t="n">
        <v>0</v>
      </c>
      <c r="G5" s="112" t="n">
        <v>0</v>
      </c>
      <c r="H5" s="112" t="n">
        <v>1</v>
      </c>
      <c r="I5" s="112" t="n">
        <v>1</v>
      </c>
      <c r="J5" s="71" t="inlineStr">
        <is>
          <t>COMPRAR</t>
        </is>
      </c>
      <c r="K5" s="113" t="inlineStr"/>
      <c r="L5" s="71" t="str"/>
      <c r="M5" s="103">
        <f>IF($J5="COMPRAR",COUNTIF($J$2:J5,"COMPRAR"),"")</f>
        <v/>
      </c>
      <c r="N5" s="103">
        <f>IF($M5="","",$A5)</f>
        <v/>
      </c>
    </row>
    <row r="6">
      <c r="A6" s="71" t="inlineStr">
        <is>
          <t>LIMP-005</t>
        </is>
      </c>
      <c r="B6" s="71" t="inlineStr">
        <is>
          <t>Álcool 70%</t>
        </is>
      </c>
      <c r="C6" s="71" t="inlineStr">
        <is>
          <t>Álcool</t>
        </is>
      </c>
      <c r="D6" s="71" t="inlineStr">
        <is>
          <t>L</t>
        </is>
      </c>
      <c r="E6" s="112" t="n">
        <v>2</v>
      </c>
      <c r="F6" s="112" t="n">
        <v>0</v>
      </c>
      <c r="G6" s="112" t="n">
        <v>0</v>
      </c>
      <c r="H6" s="112" t="n">
        <v>2</v>
      </c>
      <c r="I6" s="112" t="n">
        <v>1</v>
      </c>
      <c r="J6" s="71" t="inlineStr">
        <is>
          <t>OK</t>
        </is>
      </c>
      <c r="K6" s="113" t="inlineStr"/>
      <c r="L6" s="71" t="str"/>
      <c r="M6" s="103">
        <f>IF($J6="COMPRAR",COUNTIF($J$2:J6,"COMPRAR"),"")</f>
        <v/>
      </c>
      <c r="N6" s="103">
        <f>IF($M6="","",$A6)</f>
        <v/>
      </c>
    </row>
    <row r="7">
      <c r="A7" s="71" t="inlineStr">
        <is>
          <t>LIMP-006</t>
        </is>
      </c>
      <c r="B7" s="71" t="inlineStr">
        <is>
          <t>Limpa-vidros</t>
        </is>
      </c>
      <c r="C7" s="71" t="inlineStr">
        <is>
          <t>Limpa-vidros</t>
        </is>
      </c>
      <c r="D7" s="71" t="inlineStr">
        <is>
          <t>L</t>
        </is>
      </c>
      <c r="E7" s="112" t="n">
        <v>1</v>
      </c>
      <c r="F7" s="112" t="n">
        <v>10</v>
      </c>
      <c r="G7" s="112" t="n">
        <v>0</v>
      </c>
      <c r="H7" s="112" t="n">
        <v>11</v>
      </c>
      <c r="I7" s="112" t="n">
        <v>1</v>
      </c>
      <c r="J7" s="71" t="inlineStr">
        <is>
          <t>OK</t>
        </is>
      </c>
      <c r="K7" s="113" t="n">
        <v>46175.45418915509</v>
      </c>
      <c r="L7" s="71" t="str"/>
      <c r="M7" s="103">
        <f>IF($J7="COMPRAR",COUNTIF($J$2:J7,"COMPRAR"),"")</f>
        <v/>
      </c>
      <c r="N7" s="103">
        <f>IF($M7="","",$A7)</f>
        <v/>
      </c>
    </row>
    <row r="8">
      <c r="A8" s="71" t="inlineStr">
        <is>
          <t>LIMP-007</t>
        </is>
      </c>
      <c r="B8" s="71" t="inlineStr">
        <is>
          <t>Multiuso</t>
        </is>
      </c>
      <c r="C8" s="71" t="inlineStr">
        <is>
          <t>Multiuso</t>
        </is>
      </c>
      <c r="D8" s="71" t="inlineStr">
        <is>
          <t>L</t>
        </is>
      </c>
      <c r="E8" s="112" t="n">
        <v>2</v>
      </c>
      <c r="F8" s="112" t="n">
        <v>0</v>
      </c>
      <c r="G8" s="112" t="n">
        <v>0</v>
      </c>
      <c r="H8" s="112" t="n">
        <v>2</v>
      </c>
      <c r="I8" s="112" t="n">
        <v>1</v>
      </c>
      <c r="J8" s="71" t="inlineStr">
        <is>
          <t>OK</t>
        </is>
      </c>
      <c r="K8" s="113" t="inlineStr"/>
      <c r="L8" s="71" t="str"/>
      <c r="M8" s="103">
        <f>IF($J8="COMPRAR",COUNTIF($J$2:J8,"COMPRAR"),"")</f>
        <v/>
      </c>
      <c r="N8" s="103">
        <f>IF($M8="","",$A8)</f>
        <v/>
      </c>
    </row>
    <row r="9">
      <c r="A9" s="71" t="inlineStr">
        <is>
          <t>LIMP-008</t>
        </is>
      </c>
      <c r="B9" s="71" t="inlineStr">
        <is>
          <t>Sabão em pó</t>
        </is>
      </c>
      <c r="C9" s="71" t="inlineStr">
        <is>
          <t>Lava-roupas</t>
        </is>
      </c>
      <c r="D9" s="71" t="inlineStr">
        <is>
          <t>kg</t>
        </is>
      </c>
      <c r="E9" s="112" t="n">
        <v>1</v>
      </c>
      <c r="F9" s="112" t="n">
        <v>10</v>
      </c>
      <c r="G9" s="112" t="n">
        <v>0</v>
      </c>
      <c r="H9" s="112" t="n">
        <v>11</v>
      </c>
      <c r="I9" s="112" t="n">
        <v>1</v>
      </c>
      <c r="J9" s="71" t="inlineStr">
        <is>
          <t>OK</t>
        </is>
      </c>
      <c r="K9" s="113" t="n">
        <v>46175.45445240741</v>
      </c>
      <c r="L9" s="71" t="str"/>
      <c r="M9" s="103">
        <f>IF($J9="COMPRAR",COUNTIF($J$2:J9,"COMPRAR"),"")</f>
        <v/>
      </c>
      <c r="N9" s="103">
        <f>IF($M9="","",$A9)</f>
        <v/>
      </c>
    </row>
    <row r="10">
      <c r="A10" s="71" t="inlineStr">
        <is>
          <t>LIMP-009</t>
        </is>
      </c>
      <c r="B10" s="71" t="inlineStr">
        <is>
          <t>Sabão líquido</t>
        </is>
      </c>
      <c r="C10" s="71" t="inlineStr">
        <is>
          <t>Lava-roupas</t>
        </is>
      </c>
      <c r="D10" s="71" t="inlineStr">
        <is>
          <t>L</t>
        </is>
      </c>
      <c r="E10" s="112" t="n">
        <v>1</v>
      </c>
      <c r="F10" s="112" t="n">
        <v>0</v>
      </c>
      <c r="G10" s="112" t="n">
        <v>0</v>
      </c>
      <c r="H10" s="112" t="n">
        <v>1</v>
      </c>
      <c r="I10" s="112" t="n">
        <v>1</v>
      </c>
      <c r="J10" s="71" t="inlineStr">
        <is>
          <t>COMPRAR</t>
        </is>
      </c>
      <c r="K10" s="113" t="inlineStr"/>
      <c r="L10" s="71" t="str"/>
      <c r="M10" s="103">
        <f>IF($J10="COMPRAR",COUNTIF($J$2:J10,"COMPRAR"),"")</f>
        <v/>
      </c>
      <c r="N10" s="103">
        <f>IF($M10="","",$A10)</f>
        <v/>
      </c>
    </row>
    <row r="11">
      <c r="A11" s="71" t="inlineStr">
        <is>
          <t>LIMP-010</t>
        </is>
      </c>
      <c r="B11" s="71" t="inlineStr">
        <is>
          <t>Amaciante</t>
        </is>
      </c>
      <c r="C11" s="71" t="inlineStr">
        <is>
          <t>Amaciante</t>
        </is>
      </c>
      <c r="D11" s="71" t="inlineStr">
        <is>
          <t>L</t>
        </is>
      </c>
      <c r="E11" s="112" t="n">
        <v>1</v>
      </c>
      <c r="F11" s="112" t="n">
        <v>0</v>
      </c>
      <c r="G11" s="112" t="n">
        <v>0</v>
      </c>
      <c r="H11" s="112" t="n">
        <v>1</v>
      </c>
      <c r="I11" s="112" t="n">
        <v>1</v>
      </c>
      <c r="J11" s="71" t="inlineStr">
        <is>
          <t>COMPRAR</t>
        </is>
      </c>
      <c r="K11" s="113" t="inlineStr"/>
      <c r="L11" s="71" t="str"/>
      <c r="M11" s="103">
        <f>IF($J11="COMPRAR",COUNTIF($J$2:J11,"COMPRAR"),"")</f>
        <v/>
      </c>
      <c r="N11" s="103">
        <f>IF($M11="","",$A11)</f>
        <v/>
      </c>
    </row>
    <row r="12">
      <c r="A12" s="71" t="inlineStr">
        <is>
          <t>LIMP-011</t>
        </is>
      </c>
      <c r="B12" s="71" t="inlineStr">
        <is>
          <t>Removedor de manchas</t>
        </is>
      </c>
      <c r="C12" s="71" t="inlineStr">
        <is>
          <t>Outros</t>
        </is>
      </c>
      <c r="D12" s="71" t="inlineStr">
        <is>
          <t>un</t>
        </is>
      </c>
      <c r="E12" s="112" t="n">
        <v>1</v>
      </c>
      <c r="F12" s="112" t="n">
        <v>0</v>
      </c>
      <c r="G12" s="112" t="n">
        <v>0</v>
      </c>
      <c r="H12" s="112" t="n">
        <v>1</v>
      </c>
      <c r="I12" s="112" t="n">
        <v>1</v>
      </c>
      <c r="J12" s="71" t="inlineStr">
        <is>
          <t>COMPRAR</t>
        </is>
      </c>
      <c r="K12" s="113" t="inlineStr"/>
      <c r="L12" s="71" t="str"/>
      <c r="M12" s="103">
        <f>IF($J12="COMPRAR",COUNTIF($J$2:J12,"COMPRAR"),"")</f>
        <v/>
      </c>
      <c r="N12" s="103">
        <f>IF($M12="","",$A12)</f>
        <v/>
      </c>
    </row>
    <row r="13">
      <c r="A13" s="71" t="inlineStr">
        <is>
          <t>LIMP-012</t>
        </is>
      </c>
      <c r="B13" s="71" t="inlineStr">
        <is>
          <t>Cera líquida</t>
        </is>
      </c>
      <c r="C13" s="71" t="inlineStr">
        <is>
          <t>Cera/Polidor</t>
        </is>
      </c>
      <c r="D13" s="71" t="inlineStr">
        <is>
          <t>L</t>
        </is>
      </c>
      <c r="E13" s="112" t="n">
        <v>1</v>
      </c>
      <c r="F13" s="112" t="n">
        <v>0</v>
      </c>
      <c r="G13" s="112" t="n">
        <v>0</v>
      </c>
      <c r="H13" s="112" t="n">
        <v>1</v>
      </c>
      <c r="I13" s="112" t="n">
        <v>1</v>
      </c>
      <c r="J13" s="71" t="inlineStr">
        <is>
          <t>COMPRAR</t>
        </is>
      </c>
      <c r="K13" s="113" t="inlineStr"/>
      <c r="L13" s="71" t="str"/>
      <c r="M13" s="103">
        <f>IF($J13="COMPRAR",COUNTIF($J$2:J13,"COMPRAR"),"")</f>
        <v/>
      </c>
      <c r="N13" s="103">
        <f>IF($M13="","",$A13)</f>
        <v/>
      </c>
    </row>
    <row r="14">
      <c r="A14" s="71" t="inlineStr">
        <is>
          <t>LIMP-013</t>
        </is>
      </c>
      <c r="B14" s="71" t="inlineStr">
        <is>
          <t>Polidor de móveis</t>
        </is>
      </c>
      <c r="C14" s="71" t="inlineStr">
        <is>
          <t>Cera/Polidor</t>
        </is>
      </c>
      <c r="D14" s="71" t="inlineStr">
        <is>
          <t>un</t>
        </is>
      </c>
      <c r="E14" s="112" t="n">
        <v>1</v>
      </c>
      <c r="F14" s="112" t="n">
        <v>0</v>
      </c>
      <c r="G14" s="112" t="n">
        <v>0</v>
      </c>
      <c r="H14" s="112" t="n">
        <v>1</v>
      </c>
      <c r="I14" s="112" t="n">
        <v>1</v>
      </c>
      <c r="J14" s="71" t="inlineStr">
        <is>
          <t>COMPRAR</t>
        </is>
      </c>
      <c r="K14" s="113" t="inlineStr"/>
      <c r="L14" s="71" t="str"/>
      <c r="M14" s="103">
        <f>IF($J14="COMPRAR",COUNTIF($J$2:J14,"COMPRAR"),"")</f>
        <v/>
      </c>
      <c r="N14" s="103">
        <f>IF($M14="","",$A14)</f>
        <v/>
      </c>
    </row>
    <row r="15">
      <c r="A15" s="71" t="inlineStr">
        <is>
          <t>LIMP-014</t>
        </is>
      </c>
      <c r="B15" s="71" t="inlineStr">
        <is>
          <t>Aromatizador de ambiente</t>
        </is>
      </c>
      <c r="C15" s="71" t="inlineStr">
        <is>
          <t>Aromatizador</t>
        </is>
      </c>
      <c r="D15" s="71" t="inlineStr">
        <is>
          <t>un</t>
        </is>
      </c>
      <c r="E15" s="112" t="n">
        <v>2</v>
      </c>
      <c r="F15" s="112" t="n">
        <v>0</v>
      </c>
      <c r="G15" s="112" t="n">
        <v>0</v>
      </c>
      <c r="H15" s="112" t="n">
        <v>2</v>
      </c>
      <c r="I15" s="112" t="n">
        <v>1</v>
      </c>
      <c r="J15" s="71" t="inlineStr">
        <is>
          <t>OK</t>
        </is>
      </c>
      <c r="K15" s="113" t="inlineStr"/>
      <c r="L15" s="71" t="str"/>
      <c r="M15" s="103">
        <f>IF($J15="COMPRAR",COUNTIF($J$2:J15,"COMPRAR"),"")</f>
        <v/>
      </c>
      <c r="N15" s="103">
        <f>IF($M15="","",$A15)</f>
        <v/>
      </c>
    </row>
    <row r="16">
      <c r="A16" s="71" t="inlineStr">
        <is>
          <t>LIMP-015</t>
        </is>
      </c>
      <c r="B16" s="71" t="inlineStr">
        <is>
          <t>Saco de lixo 30L</t>
        </is>
      </c>
      <c r="C16" s="71" t="inlineStr">
        <is>
          <t>Sacos de lixo</t>
        </is>
      </c>
      <c r="D16" s="71" t="inlineStr">
        <is>
          <t>rolo</t>
        </is>
      </c>
      <c r="E16" s="112" t="n">
        <v>2</v>
      </c>
      <c r="F16" s="112" t="n">
        <v>0</v>
      </c>
      <c r="G16" s="112" t="n">
        <v>0</v>
      </c>
      <c r="H16" s="112" t="n">
        <v>2</v>
      </c>
      <c r="I16" s="112" t="n">
        <v>1</v>
      </c>
      <c r="J16" s="71" t="inlineStr">
        <is>
          <t>OK</t>
        </is>
      </c>
      <c r="K16" s="113" t="inlineStr"/>
      <c r="L16" s="71" t="str"/>
      <c r="M16" s="103">
        <f>IF($J16="COMPRAR",COUNTIF($J$2:J16,"COMPRAR"),"")</f>
        <v/>
      </c>
      <c r="N16" s="103">
        <f>IF($M16="","",$A16)</f>
        <v/>
      </c>
    </row>
    <row r="17">
      <c r="A17" s="71" t="inlineStr">
        <is>
          <t>LIMP-016</t>
        </is>
      </c>
      <c r="B17" s="71" t="inlineStr">
        <is>
          <t>Saco de lixo 50L</t>
        </is>
      </c>
      <c r="C17" s="71" t="inlineStr">
        <is>
          <t>Sacos de lixo</t>
        </is>
      </c>
      <c r="D17" s="71" t="inlineStr">
        <is>
          <t>rolo</t>
        </is>
      </c>
      <c r="E17" s="112" t="n">
        <v>2</v>
      </c>
      <c r="F17" s="112" t="n">
        <v>0</v>
      </c>
      <c r="G17" s="112" t="n">
        <v>0</v>
      </c>
      <c r="H17" s="112" t="n">
        <v>2</v>
      </c>
      <c r="I17" s="112" t="n">
        <v>1</v>
      </c>
      <c r="J17" s="71" t="inlineStr">
        <is>
          <t>OK</t>
        </is>
      </c>
      <c r="K17" s="113" t="inlineStr"/>
      <c r="L17" s="71" t="str"/>
      <c r="M17" s="103">
        <f>IF($J17="COMPRAR",COUNTIF($J$2:J17,"COMPRAR"),"")</f>
        <v/>
      </c>
      <c r="N17" s="103">
        <f>IF($M17="","",$A17)</f>
        <v/>
      </c>
    </row>
    <row r="18">
      <c r="A18" s="71" t="inlineStr">
        <is>
          <t>LIMP-017</t>
        </is>
      </c>
      <c r="B18" s="71" t="inlineStr">
        <is>
          <t>Saco de lixo 100L</t>
        </is>
      </c>
      <c r="C18" s="71" t="inlineStr">
        <is>
          <t>Sacos de lixo</t>
        </is>
      </c>
      <c r="D18" s="71" t="inlineStr">
        <is>
          <t>rolo</t>
        </is>
      </c>
      <c r="E18" s="112" t="n">
        <v>1</v>
      </c>
      <c r="F18" s="112" t="n">
        <v>0</v>
      </c>
      <c r="G18" s="112" t="n">
        <v>0</v>
      </c>
      <c r="H18" s="112" t="n">
        <v>1</v>
      </c>
      <c r="I18" s="112" t="n">
        <v>1</v>
      </c>
      <c r="J18" s="71" t="inlineStr">
        <is>
          <t>COMPRAR</t>
        </is>
      </c>
      <c r="K18" s="113" t="inlineStr"/>
      <c r="L18" s="71" t="str"/>
      <c r="M18" s="103">
        <f>IF($J18="COMPRAR",COUNTIF($J$2:J18,"COMPRAR"),"")</f>
        <v/>
      </c>
      <c r="N18" s="103">
        <f>IF($M18="","",$A18)</f>
        <v/>
      </c>
    </row>
    <row r="19">
      <c r="A19" s="71" t="inlineStr">
        <is>
          <t>LIMP-018</t>
        </is>
      </c>
      <c r="B19" s="71" t="inlineStr">
        <is>
          <t>Papel toalha</t>
        </is>
      </c>
      <c r="C19" s="71" t="inlineStr">
        <is>
          <t>Material descartável</t>
        </is>
      </c>
      <c r="D19" s="71" t="inlineStr">
        <is>
          <t>rolo</t>
        </is>
      </c>
      <c r="E19" s="112" t="n">
        <v>4</v>
      </c>
      <c r="F19" s="112" t="n">
        <v>0</v>
      </c>
      <c r="G19" s="112" t="n">
        <v>0</v>
      </c>
      <c r="H19" s="112" t="n">
        <v>4</v>
      </c>
      <c r="I19" s="112" t="n">
        <v>2</v>
      </c>
      <c r="J19" s="71" t="inlineStr">
        <is>
          <t>OK</t>
        </is>
      </c>
      <c r="K19" s="113" t="inlineStr"/>
      <c r="L19" s="71" t="str"/>
      <c r="M19" s="103">
        <f>IF($J19="COMPRAR",COUNTIF($J$2:J19,"COMPRAR"),"")</f>
        <v/>
      </c>
      <c r="N19" s="103">
        <f>IF($M19="","",$A19)</f>
        <v/>
      </c>
    </row>
    <row r="20">
      <c r="A20" s="71" t="inlineStr">
        <is>
          <t>LIMP-019</t>
        </is>
      </c>
      <c r="B20" s="71" t="inlineStr">
        <is>
          <t>Papel higiénico</t>
        </is>
      </c>
      <c r="C20" s="71" t="inlineStr">
        <is>
          <t>Material descartável</t>
        </is>
      </c>
      <c r="D20" s="71" t="inlineStr">
        <is>
          <t>pacote</t>
        </is>
      </c>
      <c r="E20" s="112" t="n">
        <v>2</v>
      </c>
      <c r="F20" s="112" t="n">
        <v>0</v>
      </c>
      <c r="G20" s="112" t="n">
        <v>0</v>
      </c>
      <c r="H20" s="112" t="n">
        <v>2</v>
      </c>
      <c r="I20" s="112" t="n">
        <v>1</v>
      </c>
      <c r="J20" s="71" t="inlineStr">
        <is>
          <t>OK</t>
        </is>
      </c>
      <c r="K20" s="113" t="inlineStr"/>
      <c r="L20" s="71" t="str"/>
      <c r="M20" s="103">
        <f>IF($J20="COMPRAR",COUNTIF($J$2:J20,"COMPRAR"),"")</f>
        <v/>
      </c>
      <c r="N20" s="103">
        <f>IF($M20="","",$A20)</f>
        <v/>
      </c>
    </row>
    <row r="21">
      <c r="A21" s="71" t="inlineStr">
        <is>
          <t>LIMP-020</t>
        </is>
      </c>
      <c r="B21" s="71" t="inlineStr">
        <is>
          <t>Guardanapos</t>
        </is>
      </c>
      <c r="C21" s="71" t="inlineStr">
        <is>
          <t>Material descartável</t>
        </is>
      </c>
      <c r="D21" s="71" t="inlineStr">
        <is>
          <t>pacote</t>
        </is>
      </c>
      <c r="E21" s="112" t="n">
        <v>2</v>
      </c>
      <c r="F21" s="112" t="n">
        <v>0</v>
      </c>
      <c r="G21" s="112" t="n">
        <v>0</v>
      </c>
      <c r="H21" s="112" t="n">
        <v>2</v>
      </c>
      <c r="I21" s="112" t="n">
        <v>1</v>
      </c>
      <c r="J21" s="71" t="inlineStr">
        <is>
          <t>OK</t>
        </is>
      </c>
      <c r="K21" s="113" t="inlineStr"/>
      <c r="L21" s="71" t="str"/>
      <c r="M21" s="103">
        <f>IF($J21="COMPRAR",COUNTIF($J$2:J21,"COMPRAR"),"")</f>
        <v/>
      </c>
      <c r="N21" s="103">
        <f>IF($M21="","",$A21)</f>
        <v/>
      </c>
    </row>
    <row r="22">
      <c r="A22" s="71" t="inlineStr">
        <is>
          <t>LIMP-021</t>
        </is>
      </c>
      <c r="B22" s="71" t="inlineStr">
        <is>
          <t>Luvas descartáveis</t>
        </is>
      </c>
      <c r="C22" s="71" t="inlineStr">
        <is>
          <t>EPI</t>
        </is>
      </c>
      <c r="D22" s="71" t="inlineStr">
        <is>
          <t>caixa</t>
        </is>
      </c>
      <c r="E22" s="112" t="n">
        <v>1</v>
      </c>
      <c r="F22" s="112" t="n">
        <v>0</v>
      </c>
      <c r="G22" s="112" t="n">
        <v>0</v>
      </c>
      <c r="H22" s="112" t="n">
        <v>1</v>
      </c>
      <c r="I22" s="112" t="n">
        <v>1</v>
      </c>
      <c r="J22" s="71" t="inlineStr">
        <is>
          <t>COMPRAR</t>
        </is>
      </c>
      <c r="K22" s="113" t="inlineStr"/>
      <c r="L22" s="71" t="str"/>
      <c r="M22" s="103">
        <f>IF($J22="COMPRAR",COUNTIF($J$2:J22,"COMPRAR"),"")</f>
        <v/>
      </c>
      <c r="N22" s="103">
        <f>IF($M22="","",$A22)</f>
        <v/>
      </c>
    </row>
    <row r="23">
      <c r="A23" s="71" t="inlineStr">
        <is>
          <t>LIMP-022</t>
        </is>
      </c>
      <c r="B23" s="71" t="inlineStr">
        <is>
          <t>Luvas de borracha</t>
        </is>
      </c>
      <c r="C23" s="71" t="inlineStr">
        <is>
          <t>EPI</t>
        </is>
      </c>
      <c r="D23" s="71" t="inlineStr">
        <is>
          <t>par</t>
        </is>
      </c>
      <c r="E23" s="112" t="n">
        <v>3</v>
      </c>
      <c r="F23" s="112" t="n">
        <v>0</v>
      </c>
      <c r="G23" s="112" t="n">
        <v>0</v>
      </c>
      <c r="H23" s="112" t="n">
        <v>3</v>
      </c>
      <c r="I23" s="112" t="n">
        <v>2</v>
      </c>
      <c r="J23" s="71" t="inlineStr">
        <is>
          <t>OK</t>
        </is>
      </c>
      <c r="K23" s="113" t="inlineStr"/>
      <c r="L23" s="71" t="str"/>
      <c r="M23" s="103">
        <f>IF($J23="COMPRAR",COUNTIF($J$2:J23,"COMPRAR"),"")</f>
        <v/>
      </c>
      <c r="N23" s="103">
        <f>IF($M23="","",$A23)</f>
        <v/>
      </c>
    </row>
    <row r="24">
      <c r="A24" s="71" t="inlineStr">
        <is>
          <t>LIMP-023</t>
        </is>
      </c>
      <c r="B24" s="71" t="inlineStr">
        <is>
          <t>Máscaras descartáveis</t>
        </is>
      </c>
      <c r="C24" s="71" t="inlineStr">
        <is>
          <t>EPI</t>
        </is>
      </c>
      <c r="D24" s="71" t="inlineStr">
        <is>
          <t>caixa</t>
        </is>
      </c>
      <c r="E24" s="112" t="n">
        <v>1</v>
      </c>
      <c r="F24" s="112" t="n">
        <v>0</v>
      </c>
      <c r="G24" s="112" t="n">
        <v>0</v>
      </c>
      <c r="H24" s="112" t="n">
        <v>1</v>
      </c>
      <c r="I24" s="112" t="n">
        <v>1</v>
      </c>
      <c r="J24" s="71" t="inlineStr">
        <is>
          <t>COMPRAR</t>
        </is>
      </c>
      <c r="K24" s="113" t="inlineStr"/>
      <c r="L24" s="71" t="str"/>
      <c r="M24" s="103">
        <f>IF($J24="COMPRAR",COUNTIF($J$2:J24,"COMPRAR"),"")</f>
        <v/>
      </c>
      <c r="N24" s="103">
        <f>IF($M24="","",$A24)</f>
        <v/>
      </c>
    </row>
    <row r="25">
      <c r="A25" s="71" t="inlineStr">
        <is>
          <t>LIMP-024</t>
        </is>
      </c>
      <c r="B25" s="71" t="inlineStr">
        <is>
          <t>Avental</t>
        </is>
      </c>
      <c r="C25" s="71" t="inlineStr">
        <is>
          <t>EPI</t>
        </is>
      </c>
      <c r="D25" s="71" t="inlineStr">
        <is>
          <t>un</t>
        </is>
      </c>
      <c r="E25" s="112" t="n">
        <v>2</v>
      </c>
      <c r="F25" s="112" t="n">
        <v>0</v>
      </c>
      <c r="G25" s="112" t="n">
        <v>0</v>
      </c>
      <c r="H25" s="112" t="n">
        <v>2</v>
      </c>
      <c r="I25" s="112" t="n">
        <v>1</v>
      </c>
      <c r="J25" s="71" t="inlineStr">
        <is>
          <t>OK</t>
        </is>
      </c>
      <c r="K25" s="113" t="inlineStr"/>
      <c r="L25" s="71" t="str"/>
      <c r="M25" s="103">
        <f>IF($J25="COMPRAR",COUNTIF($J$2:J25,"COMPRAR"),"")</f>
        <v/>
      </c>
      <c r="N25" s="103">
        <f>IF($M25="","",$A25)</f>
        <v/>
      </c>
    </row>
    <row r="26">
      <c r="A26" s="71" t="inlineStr">
        <is>
          <t>LIMP-025</t>
        </is>
      </c>
      <c r="B26" s="71" t="inlineStr">
        <is>
          <t>Óculos de proteção</t>
        </is>
      </c>
      <c r="C26" s="71" t="inlineStr">
        <is>
          <t>EPI</t>
        </is>
      </c>
      <c r="D26" s="71" t="inlineStr">
        <is>
          <t>un</t>
        </is>
      </c>
      <c r="E26" s="112" t="n">
        <v>1</v>
      </c>
      <c r="F26" s="112" t="n">
        <v>0</v>
      </c>
      <c r="G26" s="112" t="n">
        <v>0</v>
      </c>
      <c r="H26" s="112" t="n">
        <v>1</v>
      </c>
      <c r="I26" s="112" t="n">
        <v>1</v>
      </c>
      <c r="J26" s="71" t="inlineStr">
        <is>
          <t>COMPRAR</t>
        </is>
      </c>
      <c r="K26" s="113" t="inlineStr"/>
      <c r="L26" s="71" t="str"/>
      <c r="M26" s="103">
        <f>IF($J26="COMPRAR",COUNTIF($J$2:J26,"COMPRAR"),"")</f>
        <v/>
      </c>
      <c r="N26" s="103">
        <f>IF($M26="","",$A26)</f>
        <v/>
      </c>
    </row>
    <row r="27">
      <c r="A27" s="71" t="inlineStr">
        <is>
          <t>LIMP-026</t>
        </is>
      </c>
      <c r="B27" s="71" t="inlineStr">
        <is>
          <t>Pano microfibra</t>
        </is>
      </c>
      <c r="C27" s="71" t="inlineStr">
        <is>
          <t>Panos/Esponjas</t>
        </is>
      </c>
      <c r="D27" s="71" t="inlineStr">
        <is>
          <t>un</t>
        </is>
      </c>
      <c r="E27" s="112" t="n">
        <v>10</v>
      </c>
      <c r="F27" s="112" t="n">
        <v>0</v>
      </c>
      <c r="G27" s="112" t="n">
        <v>0</v>
      </c>
      <c r="H27" s="112" t="n">
        <v>10</v>
      </c>
      <c r="I27" s="112" t="n">
        <v>5</v>
      </c>
      <c r="J27" s="71" t="inlineStr">
        <is>
          <t>OK</t>
        </is>
      </c>
      <c r="K27" s="113" t="inlineStr"/>
      <c r="L27" s="71" t="str"/>
      <c r="M27" s="103">
        <f>IF($J27="COMPRAR",COUNTIF($J$2:J27,"COMPRAR"),"")</f>
        <v/>
      </c>
      <c r="N27" s="103">
        <f>IF($M27="","",$A27)</f>
        <v/>
      </c>
    </row>
    <row r="28">
      <c r="A28" s="71" t="inlineStr">
        <is>
          <t>LIMP-027</t>
        </is>
      </c>
      <c r="B28" s="71" t="inlineStr">
        <is>
          <t>Pano de chão</t>
        </is>
      </c>
      <c r="C28" s="71" t="inlineStr">
        <is>
          <t>Panos/Esponjas</t>
        </is>
      </c>
      <c r="D28" s="71" t="inlineStr">
        <is>
          <t>un</t>
        </is>
      </c>
      <c r="E28" s="112" t="n">
        <v>6</v>
      </c>
      <c r="F28" s="112" t="n">
        <v>0</v>
      </c>
      <c r="G28" s="112" t="n">
        <v>0</v>
      </c>
      <c r="H28" s="112" t="n">
        <v>6</v>
      </c>
      <c r="I28" s="112" t="n">
        <v>3</v>
      </c>
      <c r="J28" s="71" t="inlineStr">
        <is>
          <t>OK</t>
        </is>
      </c>
      <c r="K28" s="113" t="inlineStr"/>
      <c r="L28" s="71" t="str"/>
      <c r="M28" s="103">
        <f>IF($J28="COMPRAR",COUNTIF($J$2:J28,"COMPRAR"),"")</f>
        <v/>
      </c>
      <c r="N28" s="103">
        <f>IF($M28="","",$A28)</f>
        <v/>
      </c>
    </row>
    <row r="29">
      <c r="A29" s="71" t="inlineStr">
        <is>
          <t>LIMP-028</t>
        </is>
      </c>
      <c r="B29" s="71" t="inlineStr">
        <is>
          <t>Flanelas</t>
        </is>
      </c>
      <c r="C29" s="71" t="inlineStr">
        <is>
          <t>Panos/Esponjas</t>
        </is>
      </c>
      <c r="D29" s="71" t="inlineStr">
        <is>
          <t>un</t>
        </is>
      </c>
      <c r="E29" s="112" t="n">
        <v>6</v>
      </c>
      <c r="F29" s="112" t="n">
        <v>0</v>
      </c>
      <c r="G29" s="112" t="n">
        <v>0</v>
      </c>
      <c r="H29" s="112" t="n">
        <v>6</v>
      </c>
      <c r="I29" s="112" t="n">
        <v>3</v>
      </c>
      <c r="J29" s="71" t="inlineStr">
        <is>
          <t>OK</t>
        </is>
      </c>
      <c r="K29" s="113" t="inlineStr"/>
      <c r="L29" s="71" t="str"/>
      <c r="M29" s="103">
        <f>IF($J29="COMPRAR",COUNTIF($J$2:J29,"COMPRAR"),"")</f>
        <v/>
      </c>
      <c r="N29" s="103">
        <f>IF($M29="","",$A29)</f>
        <v/>
      </c>
    </row>
    <row r="30">
      <c r="A30" s="71" t="inlineStr">
        <is>
          <t>LIMP-029</t>
        </is>
      </c>
      <c r="B30" s="71" t="inlineStr">
        <is>
          <t>Esponja multiuso</t>
        </is>
      </c>
      <c r="C30" s="71" t="inlineStr">
        <is>
          <t>Panos/Esponjas</t>
        </is>
      </c>
      <c r="D30" s="71" t="inlineStr">
        <is>
          <t>un</t>
        </is>
      </c>
      <c r="E30" s="112" t="n">
        <v>10</v>
      </c>
      <c r="F30" s="112" t="n">
        <v>0</v>
      </c>
      <c r="G30" s="112" t="n">
        <v>0</v>
      </c>
      <c r="H30" s="112" t="n">
        <v>10</v>
      </c>
      <c r="I30" s="112" t="n">
        <v>5</v>
      </c>
      <c r="J30" s="71" t="inlineStr">
        <is>
          <t>OK</t>
        </is>
      </c>
      <c r="K30" s="113" t="inlineStr"/>
      <c r="L30" s="71" t="str"/>
      <c r="M30" s="103">
        <f>IF($J30="COMPRAR",COUNTIF($J$2:J30,"COMPRAR"),"")</f>
        <v/>
      </c>
      <c r="N30" s="103">
        <f>IF($M30="","",$A30)</f>
        <v/>
      </c>
    </row>
    <row r="31">
      <c r="A31" s="71" t="inlineStr">
        <is>
          <t>LIMP-030</t>
        </is>
      </c>
      <c r="B31" s="71" t="inlineStr">
        <is>
          <t>Escova de limpeza</t>
        </is>
      </c>
      <c r="C31" s="71" t="inlineStr">
        <is>
          <t>Acessórios</t>
        </is>
      </c>
      <c r="D31" s="71" t="inlineStr">
        <is>
          <t>un</t>
        </is>
      </c>
      <c r="E31" s="112" t="n">
        <v>2</v>
      </c>
      <c r="F31" s="112" t="n">
        <v>0</v>
      </c>
      <c r="G31" s="112" t="n">
        <v>0</v>
      </c>
      <c r="H31" s="112" t="n">
        <v>2</v>
      </c>
      <c r="I31" s="112" t="n">
        <v>1</v>
      </c>
      <c r="J31" s="71" t="inlineStr">
        <is>
          <t>OK</t>
        </is>
      </c>
      <c r="K31" s="113" t="inlineStr"/>
      <c r="L31" s="71" t="str"/>
      <c r="M31" s="103">
        <f>IF($J31="COMPRAR",COUNTIF($J$2:J31,"COMPRAR"),"")</f>
        <v/>
      </c>
      <c r="N31" s="103">
        <f>IF($M31="","",$A31)</f>
        <v/>
      </c>
    </row>
    <row r="32">
      <c r="A32" s="71" t="inlineStr">
        <is>
          <t>LIMP-031</t>
        </is>
      </c>
      <c r="B32" s="71" t="inlineStr">
        <is>
          <t>Vassoura</t>
        </is>
      </c>
      <c r="C32" s="71" t="inlineStr">
        <is>
          <t>Acessórios</t>
        </is>
      </c>
      <c r="D32" s="71" t="inlineStr">
        <is>
          <t>un</t>
        </is>
      </c>
      <c r="E32" s="112" t="n">
        <v>2</v>
      </c>
      <c r="F32" s="112" t="n">
        <v>0</v>
      </c>
      <c r="G32" s="112" t="n">
        <v>0</v>
      </c>
      <c r="H32" s="112" t="n">
        <v>2</v>
      </c>
      <c r="I32" s="112" t="n">
        <v>1</v>
      </c>
      <c r="J32" s="71" t="inlineStr">
        <is>
          <t>OK</t>
        </is>
      </c>
      <c r="K32" s="113" t="inlineStr"/>
      <c r="L32" s="71" t="str"/>
      <c r="M32" s="103">
        <f>IF($J32="COMPRAR",COUNTIF($J$2:J32,"COMPRAR"),"")</f>
        <v/>
      </c>
      <c r="N32" s="103">
        <f>IF($M32="","",$A32)</f>
        <v/>
      </c>
    </row>
    <row r="33">
      <c r="A33" s="71" t="inlineStr">
        <is>
          <t>LIMP-032</t>
        </is>
      </c>
      <c r="B33" s="71" t="inlineStr">
        <is>
          <t>Rodo</t>
        </is>
      </c>
      <c r="C33" s="71" t="inlineStr">
        <is>
          <t>Acessórios</t>
        </is>
      </c>
      <c r="D33" s="71" t="inlineStr">
        <is>
          <t>un</t>
        </is>
      </c>
      <c r="E33" s="112" t="n">
        <v>2</v>
      </c>
      <c r="F33" s="112" t="n">
        <v>0</v>
      </c>
      <c r="G33" s="112" t="n">
        <v>0</v>
      </c>
      <c r="H33" s="112" t="n">
        <v>2</v>
      </c>
      <c r="I33" s="112" t="n">
        <v>1</v>
      </c>
      <c r="J33" s="71" t="inlineStr">
        <is>
          <t>OK</t>
        </is>
      </c>
      <c r="K33" s="113" t="inlineStr"/>
      <c r="L33" s="71" t="str"/>
      <c r="M33" s="103">
        <f>IF($J33="COMPRAR",COUNTIF($J$2:J33,"COMPRAR"),"")</f>
        <v/>
      </c>
      <c r="N33" s="103">
        <f>IF($M33="","",$A33)</f>
        <v/>
      </c>
    </row>
    <row r="34">
      <c r="A34" s="71" t="inlineStr">
        <is>
          <t>LIMP-033</t>
        </is>
      </c>
      <c r="B34" s="71" t="inlineStr">
        <is>
          <t>Pá de lixo</t>
        </is>
      </c>
      <c r="C34" s="71" t="inlineStr">
        <is>
          <t>Acessórios</t>
        </is>
      </c>
      <c r="D34" s="71" t="inlineStr">
        <is>
          <t>un</t>
        </is>
      </c>
      <c r="E34" s="112" t="n">
        <v>1</v>
      </c>
      <c r="F34" s="112" t="n">
        <v>0</v>
      </c>
      <c r="G34" s="112" t="n">
        <v>0</v>
      </c>
      <c r="H34" s="112" t="n">
        <v>1</v>
      </c>
      <c r="I34" s="112" t="n">
        <v>1</v>
      </c>
      <c r="J34" s="71" t="inlineStr">
        <is>
          <t>COMPRAR</t>
        </is>
      </c>
      <c r="K34" s="113" t="inlineStr"/>
      <c r="L34" s="71" t="str"/>
      <c r="M34" s="103">
        <f>IF($J34="COMPRAR",COUNTIF($J$2:J34,"COMPRAR"),"")</f>
        <v/>
      </c>
      <c r="N34" s="103">
        <f>IF($M34="","",$A34)</f>
        <v/>
      </c>
    </row>
    <row r="35">
      <c r="A35" s="71" t="inlineStr">
        <is>
          <t>LIMP-034</t>
        </is>
      </c>
      <c r="B35" s="71" t="inlineStr">
        <is>
          <t>Balde</t>
        </is>
      </c>
      <c r="C35" s="71" t="inlineStr">
        <is>
          <t>Acessórios</t>
        </is>
      </c>
      <c r="D35" s="71" t="inlineStr">
        <is>
          <t>un</t>
        </is>
      </c>
      <c r="E35" s="112" t="n">
        <v>2</v>
      </c>
      <c r="F35" s="112" t="n">
        <v>0</v>
      </c>
      <c r="G35" s="112" t="n">
        <v>0</v>
      </c>
      <c r="H35" s="112" t="n">
        <v>2</v>
      </c>
      <c r="I35" s="112" t="n">
        <v>1</v>
      </c>
      <c r="J35" s="71" t="inlineStr">
        <is>
          <t>OK</t>
        </is>
      </c>
      <c r="K35" s="113" t="inlineStr"/>
      <c r="L35" s="71" t="str"/>
      <c r="M35" s="103">
        <f>IF($J35="COMPRAR",COUNTIF($J$2:J35,"COMPRAR"),"")</f>
        <v/>
      </c>
      <c r="N35" s="103">
        <f>IF($M35="","",$A35)</f>
        <v/>
      </c>
    </row>
    <row r="36">
      <c r="A36" s="71" t="inlineStr">
        <is>
          <t>LIMP-035</t>
        </is>
      </c>
      <c r="B36" s="71" t="inlineStr">
        <is>
          <t>Mop</t>
        </is>
      </c>
      <c r="C36" s="71" t="inlineStr">
        <is>
          <t>Acessórios</t>
        </is>
      </c>
      <c r="D36" s="71" t="inlineStr">
        <is>
          <t>un</t>
        </is>
      </c>
      <c r="E36" s="112" t="n">
        <v>1</v>
      </c>
      <c r="F36" s="112" t="n">
        <v>0</v>
      </c>
      <c r="G36" s="112" t="n">
        <v>0</v>
      </c>
      <c r="H36" s="112" t="n">
        <v>1</v>
      </c>
      <c r="I36" s="112" t="n">
        <v>1</v>
      </c>
      <c r="J36" s="71" t="inlineStr">
        <is>
          <t>COMPRAR</t>
        </is>
      </c>
      <c r="K36" s="113" t="inlineStr"/>
      <c r="L36" s="71" t="str"/>
      <c r="M36" s="103">
        <f>IF($J36="COMPRAR",COUNTIF($J$2:J36,"COMPRAR"),"")</f>
        <v/>
      </c>
      <c r="N36" s="103">
        <f>IF($M36="","",$A36)</f>
        <v/>
      </c>
    </row>
    <row r="37">
      <c r="A37" s="71" t="inlineStr">
        <is>
          <t>LIMP-036</t>
        </is>
      </c>
      <c r="B37" s="71" t="inlineStr">
        <is>
          <t>Refil de mop</t>
        </is>
      </c>
      <c r="C37" s="71" t="inlineStr">
        <is>
          <t>Acessórios</t>
        </is>
      </c>
      <c r="D37" s="71" t="inlineStr">
        <is>
          <t>un</t>
        </is>
      </c>
      <c r="E37" s="112" t="n">
        <v>2</v>
      </c>
      <c r="F37" s="112" t="n">
        <v>0</v>
      </c>
      <c r="G37" s="112" t="n">
        <v>0</v>
      </c>
      <c r="H37" s="112" t="n">
        <v>2</v>
      </c>
      <c r="I37" s="112" t="n">
        <v>1</v>
      </c>
      <c r="J37" s="71" t="inlineStr">
        <is>
          <t>OK</t>
        </is>
      </c>
      <c r="K37" s="113" t="inlineStr"/>
      <c r="L37" s="71" t="str"/>
      <c r="M37" s="103">
        <f>IF($J37="COMPRAR",COUNTIF($J$2:J37,"COMPRAR"),"")</f>
        <v/>
      </c>
      <c r="N37" s="103">
        <f>IF($M37="","",$A37)</f>
        <v/>
      </c>
    </row>
    <row r="38">
      <c r="A38" s="71" t="inlineStr">
        <is>
          <t>LIMP-037</t>
        </is>
      </c>
      <c r="B38" s="71" t="inlineStr">
        <is>
          <t>Pulverizador/borrifador</t>
        </is>
      </c>
      <c r="C38" s="71" t="inlineStr">
        <is>
          <t>Acessórios</t>
        </is>
      </c>
      <c r="D38" s="71" t="inlineStr">
        <is>
          <t>un</t>
        </is>
      </c>
      <c r="E38" s="112" t="n">
        <v>3</v>
      </c>
      <c r="F38" s="112" t="n">
        <v>0</v>
      </c>
      <c r="G38" s="112" t="n">
        <v>0</v>
      </c>
      <c r="H38" s="112" t="n">
        <v>3</v>
      </c>
      <c r="I38" s="112" t="n">
        <v>2</v>
      </c>
      <c r="J38" s="71" t="inlineStr">
        <is>
          <t>OK</t>
        </is>
      </c>
      <c r="K38" s="113" t="inlineStr"/>
      <c r="L38" s="71" t="str"/>
      <c r="M38" s="103">
        <f>IF($J38="COMPRAR",COUNTIF($J$2:J38,"COMPRAR"),"")</f>
        <v/>
      </c>
      <c r="N38" s="103">
        <f>IF($M38="","",$A38)</f>
        <v/>
      </c>
    </row>
    <row r="39">
      <c r="A39" s="71" t="inlineStr">
        <is>
          <t>LIMP-038</t>
        </is>
      </c>
      <c r="B39" s="71" t="inlineStr">
        <is>
          <t>Escova sanitária</t>
        </is>
      </c>
      <c r="C39" s="71" t="inlineStr">
        <is>
          <t>Acessórios</t>
        </is>
      </c>
      <c r="D39" s="71" t="inlineStr">
        <is>
          <t>un</t>
        </is>
      </c>
      <c r="E39" s="112" t="n">
        <v>2</v>
      </c>
      <c r="F39" s="112" t="n">
        <v>0</v>
      </c>
      <c r="G39" s="112" t="n">
        <v>0</v>
      </c>
      <c r="H39" s="112" t="n">
        <v>2</v>
      </c>
      <c r="I39" s="112" t="n">
        <v>1</v>
      </c>
      <c r="J39" s="71" t="inlineStr">
        <is>
          <t>OK</t>
        </is>
      </c>
      <c r="K39" s="113" t="inlineStr"/>
      <c r="L39" s="71" t="str"/>
      <c r="M39" s="103">
        <f>IF($J39="COMPRAR",COUNTIF($J$2:J39,"COMPRAR"),"")</f>
        <v/>
      </c>
      <c r="N39" s="103">
        <f>IF($M39="","",$A39)</f>
        <v/>
      </c>
    </row>
    <row r="40">
      <c r="A40" s="71" t="inlineStr">
        <is>
          <t>LIMP-039</t>
        </is>
      </c>
      <c r="B40" s="71" t="inlineStr">
        <is>
          <t>Lustra inox</t>
        </is>
      </c>
      <c r="C40" s="71" t="inlineStr">
        <is>
          <t>Cera/Polidor</t>
        </is>
      </c>
      <c r="D40" s="71" t="inlineStr">
        <is>
          <t>un</t>
        </is>
      </c>
      <c r="E40" s="112" t="n">
        <v>1</v>
      </c>
      <c r="F40" s="112" t="n">
        <v>0</v>
      </c>
      <c r="G40" s="112" t="n">
        <v>0</v>
      </c>
      <c r="H40" s="112" t="n">
        <v>1</v>
      </c>
      <c r="I40" s="112" t="n">
        <v>1</v>
      </c>
      <c r="J40" s="71" t="inlineStr">
        <is>
          <t>COMPRAR</t>
        </is>
      </c>
      <c r="K40" s="113" t="inlineStr"/>
      <c r="L40" s="71" t="str"/>
      <c r="M40" s="103">
        <f>IF($J40="COMPRAR",COUNTIF($J$2:J40,"COMPRAR"),"")</f>
        <v/>
      </c>
      <c r="N40" s="103">
        <f>IF($M40="","",$A40)</f>
        <v/>
      </c>
    </row>
    <row r="41">
      <c r="A41" s="71" t="inlineStr">
        <is>
          <t>LIMP-040</t>
        </is>
      </c>
      <c r="B41" s="71" t="inlineStr">
        <is>
          <t>Limpa carpetes/estofados</t>
        </is>
      </c>
      <c r="C41" s="71" t="inlineStr">
        <is>
          <t>Outros</t>
        </is>
      </c>
      <c r="D41" s="71" t="inlineStr">
        <is>
          <t>un</t>
        </is>
      </c>
      <c r="E41" s="112" t="n">
        <v>1</v>
      </c>
      <c r="F41" s="112" t="n">
        <v>0</v>
      </c>
      <c r="G41" s="112" t="n">
        <v>0</v>
      </c>
      <c r="H41" s="112" t="n">
        <v>1</v>
      </c>
      <c r="I41" s="112" t="n">
        <v>1</v>
      </c>
      <c r="J41" s="71" t="inlineStr">
        <is>
          <t>COMPRAR</t>
        </is>
      </c>
      <c r="K41" s="113" t="inlineStr"/>
      <c r="L41" s="71" t="str"/>
      <c r="M41" s="103">
        <f>IF($J41="COMPRAR",COUNTIF($J$2:J41,"COMPRAR"),"")</f>
        <v/>
      </c>
      <c r="N41" s="103">
        <f>IF($M41="","",$A41)</f>
        <v/>
      </c>
    </row>
    <row r="42">
      <c r="A42" s="71" t="n"/>
      <c r="B42" s="71" t="n"/>
      <c r="C42" s="71" t="n"/>
      <c r="D42" s="71" t="n"/>
      <c r="E42" s="112" t="n"/>
      <c r="F42" s="112">
        <f>IF($A42="","",SUMIF(Movimentos!$J$2:$J$121,$A42&amp;"|Compra",Movimentos!$E$2:$E$121)+SUMIF(Movimentos!$J$2:$J$121,$A42&amp;"|Ajuste +",Movimentos!$E$2:$E$121))</f>
        <v/>
      </c>
      <c r="G42" s="112">
        <f>IF($A42="","",SUMIF(Movimentos!$J$2:$J$121,$A42&amp;"|Retirada",Movimentos!$E$2:$E$121)+SUMIF(Movimentos!$J$2:$J$121,$A42&amp;"|Ajuste -",Movimentos!$E$2:$E$121))</f>
        <v/>
      </c>
      <c r="H42" s="112">
        <f>IF($A42="","",$E42+$F42-$G42)</f>
        <v/>
      </c>
      <c r="I42" s="112" t="n"/>
      <c r="J42" s="71">
        <f>IF($A42="","",IF($H42&lt;=$I42,"COMPRAR","OK"))</f>
        <v/>
      </c>
      <c r="K42" s="113" t="n"/>
      <c r="L42" s="71" t="n"/>
      <c r="M42" s="103">
        <f>IF($J42="COMPRAR",COUNTIF($J$2:J42,"COMPRAR"),"")</f>
        <v/>
      </c>
      <c r="N42" s="103">
        <f>IF($M42="","",$A42)</f>
        <v/>
      </c>
    </row>
    <row r="43">
      <c r="A43" s="71" t="n"/>
      <c r="B43" s="71" t="n"/>
      <c r="C43" s="71" t="n"/>
      <c r="D43" s="71" t="n"/>
      <c r="E43" s="112" t="n"/>
      <c r="F43" s="112">
        <f>IF($A43="","",SUMIF(Movimentos!$J$2:$J$121,$A43&amp;"|Compra",Movimentos!$E$2:$E$121)+SUMIF(Movimentos!$J$2:$J$121,$A43&amp;"|Ajuste +",Movimentos!$E$2:$E$121))</f>
        <v/>
      </c>
      <c r="G43" s="112">
        <f>IF($A43="","",SUMIF(Movimentos!$J$2:$J$121,$A43&amp;"|Retirada",Movimentos!$E$2:$E$121)+SUMIF(Movimentos!$J$2:$J$121,$A43&amp;"|Ajuste -",Movimentos!$E$2:$E$121))</f>
        <v/>
      </c>
      <c r="H43" s="112">
        <f>IF($A43="","",$E43+$F43-$G43)</f>
        <v/>
      </c>
      <c r="I43" s="112" t="n"/>
      <c r="J43" s="71">
        <f>IF($A43="","",IF($H43&lt;=$I43,"COMPRAR","OK"))</f>
        <v/>
      </c>
      <c r="K43" s="113" t="n"/>
      <c r="L43" s="71" t="n"/>
      <c r="M43" s="103">
        <f>IF($J43="COMPRAR",COUNTIF($J$2:J43,"COMPRAR"),"")</f>
        <v/>
      </c>
      <c r="N43" s="103">
        <f>IF($M43="","",$A43)</f>
        <v/>
      </c>
    </row>
    <row r="44">
      <c r="A44" s="71" t="n"/>
      <c r="B44" s="71" t="n"/>
      <c r="C44" s="71" t="n"/>
      <c r="D44" s="71" t="n"/>
      <c r="E44" s="112" t="n"/>
      <c r="F44" s="112">
        <f>IF($A44="","",SUMIF(Movimentos!$J$2:$J$121,$A44&amp;"|Compra",Movimentos!$E$2:$E$121)+SUMIF(Movimentos!$J$2:$J$121,$A44&amp;"|Ajuste +",Movimentos!$E$2:$E$121))</f>
        <v/>
      </c>
      <c r="G44" s="112">
        <f>IF($A44="","",SUMIF(Movimentos!$J$2:$J$121,$A44&amp;"|Retirada",Movimentos!$E$2:$E$121)+SUMIF(Movimentos!$J$2:$J$121,$A44&amp;"|Ajuste -",Movimentos!$E$2:$E$121))</f>
        <v/>
      </c>
      <c r="H44" s="112">
        <f>IF($A44="","",$E44+$F44-$G44)</f>
        <v/>
      </c>
      <c r="I44" s="112" t="n"/>
      <c r="J44" s="71">
        <f>IF($A44="","",IF($H44&lt;=$I44,"COMPRAR","OK"))</f>
        <v/>
      </c>
      <c r="K44" s="113" t="n"/>
      <c r="L44" s="71" t="n"/>
      <c r="M44" s="103">
        <f>IF($J44="COMPRAR",COUNTIF($J$2:J44,"COMPRAR"),"")</f>
        <v/>
      </c>
      <c r="N44" s="103">
        <f>IF($M44="","",$A44)</f>
        <v/>
      </c>
    </row>
    <row r="45">
      <c r="A45" s="71" t="n"/>
      <c r="B45" s="71" t="n"/>
      <c r="C45" s="71" t="n"/>
      <c r="D45" s="71" t="n"/>
      <c r="E45" s="112" t="n"/>
      <c r="F45" s="112">
        <f>IF($A45="","",SUMIF(Movimentos!$J$2:$J$121,$A45&amp;"|Compra",Movimentos!$E$2:$E$121)+SUMIF(Movimentos!$J$2:$J$121,$A45&amp;"|Ajuste +",Movimentos!$E$2:$E$121))</f>
        <v/>
      </c>
      <c r="G45" s="112">
        <f>IF($A45="","",SUMIF(Movimentos!$J$2:$J$121,$A45&amp;"|Retirada",Movimentos!$E$2:$E$121)+SUMIF(Movimentos!$J$2:$J$121,$A45&amp;"|Ajuste -",Movimentos!$E$2:$E$121))</f>
        <v/>
      </c>
      <c r="H45" s="112">
        <f>IF($A45="","",$E45+$F45-$G45)</f>
        <v/>
      </c>
      <c r="I45" s="112" t="n"/>
      <c r="J45" s="71">
        <f>IF($A45="","",IF($H45&lt;=$I45,"COMPRAR","OK"))</f>
        <v/>
      </c>
      <c r="K45" s="113" t="n"/>
      <c r="L45" s="71" t="n"/>
      <c r="M45" s="103">
        <f>IF($J45="COMPRAR",COUNTIF($J$2:J45,"COMPRAR"),"")</f>
        <v/>
      </c>
      <c r="N45" s="103">
        <f>IF($M45="","",$A45)</f>
        <v/>
      </c>
    </row>
    <row r="46">
      <c r="A46" s="71" t="n"/>
      <c r="B46" s="71" t="n"/>
      <c r="C46" s="71" t="n"/>
      <c r="D46" s="71" t="n"/>
      <c r="E46" s="112" t="n"/>
      <c r="F46" s="112">
        <f>IF($A46="","",SUMIF(Movimentos!$J$2:$J$121,$A46&amp;"|Compra",Movimentos!$E$2:$E$121)+SUMIF(Movimentos!$J$2:$J$121,$A46&amp;"|Ajuste +",Movimentos!$E$2:$E$121))</f>
        <v/>
      </c>
      <c r="G46" s="112">
        <f>IF($A46="","",SUMIF(Movimentos!$J$2:$J$121,$A46&amp;"|Retirada",Movimentos!$E$2:$E$121)+SUMIF(Movimentos!$J$2:$J$121,$A46&amp;"|Ajuste -",Movimentos!$E$2:$E$121))</f>
        <v/>
      </c>
      <c r="H46" s="112">
        <f>IF($A46="","",$E46+$F46-$G46)</f>
        <v/>
      </c>
      <c r="I46" s="112" t="n"/>
      <c r="J46" s="71">
        <f>IF($A46="","",IF($H46&lt;=$I46,"COMPRAR","OK"))</f>
        <v/>
      </c>
      <c r="K46" s="113" t="n"/>
      <c r="L46" s="71" t="n"/>
      <c r="M46" s="103">
        <f>IF($J46="COMPRAR",COUNTIF($J$2:J46,"COMPRAR"),"")</f>
        <v/>
      </c>
      <c r="N46" s="103">
        <f>IF($M46="","",$A46)</f>
        <v/>
      </c>
    </row>
    <row r="47">
      <c r="A47" s="71" t="n"/>
      <c r="B47" s="71" t="n"/>
      <c r="C47" s="71" t="n"/>
      <c r="D47" s="71" t="n"/>
      <c r="E47" s="112" t="n"/>
      <c r="F47" s="112">
        <f>IF($A47="","",SUMIF(Movimentos!$J$2:$J$121,$A47&amp;"|Compra",Movimentos!$E$2:$E$121)+SUMIF(Movimentos!$J$2:$J$121,$A47&amp;"|Ajuste +",Movimentos!$E$2:$E$121))</f>
        <v/>
      </c>
      <c r="G47" s="112">
        <f>IF($A47="","",SUMIF(Movimentos!$J$2:$J$121,$A47&amp;"|Retirada",Movimentos!$E$2:$E$121)+SUMIF(Movimentos!$J$2:$J$121,$A47&amp;"|Ajuste -",Movimentos!$E$2:$E$121))</f>
        <v/>
      </c>
      <c r="H47" s="112">
        <f>IF($A47="","",$E47+$F47-$G47)</f>
        <v/>
      </c>
      <c r="I47" s="112" t="n"/>
      <c r="J47" s="71">
        <f>IF($A47="","",IF($H47&lt;=$I47,"COMPRAR","OK"))</f>
        <v/>
      </c>
      <c r="K47" s="113" t="n"/>
      <c r="L47" s="71" t="n"/>
      <c r="M47" s="103">
        <f>IF($J47="COMPRAR",COUNTIF($J$2:J47,"COMPRAR"),"")</f>
        <v/>
      </c>
      <c r="N47" s="103">
        <f>IF($M47="","",$A47)</f>
        <v/>
      </c>
    </row>
    <row r="48">
      <c r="A48" s="71" t="n"/>
      <c r="B48" s="71" t="n"/>
      <c r="C48" s="71" t="n"/>
      <c r="D48" s="71" t="n"/>
      <c r="E48" s="112" t="n"/>
      <c r="F48" s="112">
        <f>IF($A48="","",SUMIF(Movimentos!$J$2:$J$121,$A48&amp;"|Compra",Movimentos!$E$2:$E$121)+SUMIF(Movimentos!$J$2:$J$121,$A48&amp;"|Ajuste +",Movimentos!$E$2:$E$121))</f>
        <v/>
      </c>
      <c r="G48" s="112">
        <f>IF($A48="","",SUMIF(Movimentos!$J$2:$J$121,$A48&amp;"|Retirada",Movimentos!$E$2:$E$121)+SUMIF(Movimentos!$J$2:$J$121,$A48&amp;"|Ajuste -",Movimentos!$E$2:$E$121))</f>
        <v/>
      </c>
      <c r="H48" s="112">
        <f>IF($A48="","",$E48+$F48-$G48)</f>
        <v/>
      </c>
      <c r="I48" s="112" t="n"/>
      <c r="J48" s="71">
        <f>IF($A48="","",IF($H48&lt;=$I48,"COMPRAR","OK"))</f>
        <v/>
      </c>
      <c r="K48" s="113" t="n"/>
      <c r="L48" s="71" t="n"/>
      <c r="M48" s="103">
        <f>IF($J48="COMPRAR",COUNTIF($J$2:J48,"COMPRAR"),"")</f>
        <v/>
      </c>
      <c r="N48" s="103">
        <f>IF($M48="","",$A48)</f>
        <v/>
      </c>
    </row>
    <row r="49">
      <c r="A49" s="71" t="n"/>
      <c r="B49" s="71" t="n"/>
      <c r="C49" s="71" t="n"/>
      <c r="D49" s="71" t="n"/>
      <c r="E49" s="112" t="n"/>
      <c r="F49" s="112">
        <f>IF($A49="","",SUMIF(Movimentos!$J$2:$J$121,$A49&amp;"|Compra",Movimentos!$E$2:$E$121)+SUMIF(Movimentos!$J$2:$J$121,$A49&amp;"|Ajuste +",Movimentos!$E$2:$E$121))</f>
        <v/>
      </c>
      <c r="G49" s="112">
        <f>IF($A49="","",SUMIF(Movimentos!$J$2:$J$121,$A49&amp;"|Retirada",Movimentos!$E$2:$E$121)+SUMIF(Movimentos!$J$2:$J$121,$A49&amp;"|Ajuste -",Movimentos!$E$2:$E$121))</f>
        <v/>
      </c>
      <c r="H49" s="112">
        <f>IF($A49="","",$E49+$F49-$G49)</f>
        <v/>
      </c>
      <c r="I49" s="112" t="n"/>
      <c r="J49" s="71">
        <f>IF($A49="","",IF($H49&lt;=$I49,"COMPRAR","OK"))</f>
        <v/>
      </c>
      <c r="K49" s="113" t="n"/>
      <c r="L49" s="71" t="n"/>
      <c r="M49" s="103">
        <f>IF($J49="COMPRAR",COUNTIF($J$2:J49,"COMPRAR"),"")</f>
        <v/>
      </c>
      <c r="N49" s="103">
        <f>IF($M49="","",$A49)</f>
        <v/>
      </c>
    </row>
    <row r="50">
      <c r="A50" s="71" t="n"/>
      <c r="B50" s="71" t="n"/>
      <c r="C50" s="71" t="n"/>
      <c r="D50" s="71" t="n"/>
      <c r="E50" s="112" t="n"/>
      <c r="F50" s="112">
        <f>IF($A50="","",SUMIF(Movimentos!$J$2:$J$121,$A50&amp;"|Compra",Movimentos!$E$2:$E$121)+SUMIF(Movimentos!$J$2:$J$121,$A50&amp;"|Ajuste +",Movimentos!$E$2:$E$121))</f>
        <v/>
      </c>
      <c r="G50" s="112">
        <f>IF($A50="","",SUMIF(Movimentos!$J$2:$J$121,$A50&amp;"|Retirada",Movimentos!$E$2:$E$121)+SUMIF(Movimentos!$J$2:$J$121,$A50&amp;"|Ajuste -",Movimentos!$E$2:$E$121))</f>
        <v/>
      </c>
      <c r="H50" s="112">
        <f>IF($A50="","",$E50+$F50-$G50)</f>
        <v/>
      </c>
      <c r="I50" s="112" t="n"/>
      <c r="J50" s="71">
        <f>IF($A50="","",IF($H50&lt;=$I50,"COMPRAR","OK"))</f>
        <v/>
      </c>
      <c r="K50" s="113" t="n"/>
      <c r="L50" s="71" t="n"/>
      <c r="M50" s="103">
        <f>IF($J50="COMPRAR",COUNTIF($J$2:J50,"COMPRAR"),"")</f>
        <v/>
      </c>
      <c r="N50" s="103">
        <f>IF($M50="","",$A50)</f>
        <v/>
      </c>
    </row>
    <row r="51">
      <c r="A51" s="71" t="n"/>
      <c r="B51" s="71" t="n"/>
      <c r="C51" s="71" t="n"/>
      <c r="D51" s="71" t="n"/>
      <c r="E51" s="112" t="n"/>
      <c r="F51" s="112">
        <f>IF($A51="","",SUMIF(Movimentos!$J$2:$J$121,$A51&amp;"|Compra",Movimentos!$E$2:$E$121)+SUMIF(Movimentos!$J$2:$J$121,$A51&amp;"|Ajuste +",Movimentos!$E$2:$E$121))</f>
        <v/>
      </c>
      <c r="G51" s="112">
        <f>IF($A51="","",SUMIF(Movimentos!$J$2:$J$121,$A51&amp;"|Retirada",Movimentos!$E$2:$E$121)+SUMIF(Movimentos!$J$2:$J$121,$A51&amp;"|Ajuste -",Movimentos!$E$2:$E$121))</f>
        <v/>
      </c>
      <c r="H51" s="112">
        <f>IF($A51="","",$E51+$F51-$G51)</f>
        <v/>
      </c>
      <c r="I51" s="112" t="n"/>
      <c r="J51" s="71">
        <f>IF($A51="","",IF($H51&lt;=$I51,"COMPRAR","OK"))</f>
        <v/>
      </c>
      <c r="K51" s="113" t="n"/>
      <c r="L51" s="71" t="n"/>
      <c r="M51" s="103">
        <f>IF($J51="COMPRAR",COUNTIF($J$2:J51,"COMPRAR"),"")</f>
        <v/>
      </c>
      <c r="N51" s="103">
        <f>IF($M51="","",$A51)</f>
        <v/>
      </c>
    </row>
    <row r="52">
      <c r="A52" s="71" t="n"/>
      <c r="B52" s="71" t="n"/>
      <c r="C52" s="71" t="n"/>
      <c r="D52" s="71" t="n"/>
      <c r="E52" s="112" t="n"/>
      <c r="F52" s="112">
        <f>IF($A52="","",SUMIF(Movimentos!$J$2:$J$121,$A52&amp;"|Compra",Movimentos!$E$2:$E$121)+SUMIF(Movimentos!$J$2:$J$121,$A52&amp;"|Ajuste +",Movimentos!$E$2:$E$121))</f>
        <v/>
      </c>
      <c r="G52" s="112">
        <f>IF($A52="","",SUMIF(Movimentos!$J$2:$J$121,$A52&amp;"|Retirada",Movimentos!$E$2:$E$121)+SUMIF(Movimentos!$J$2:$J$121,$A52&amp;"|Ajuste -",Movimentos!$E$2:$E$121))</f>
        <v/>
      </c>
      <c r="H52" s="112">
        <f>IF($A52="","",$E52+$F52-$G52)</f>
        <v/>
      </c>
      <c r="I52" s="112" t="n"/>
      <c r="J52" s="71">
        <f>IF($A52="","",IF($H52&lt;=$I52,"COMPRAR","OK"))</f>
        <v/>
      </c>
      <c r="K52" s="113" t="n"/>
      <c r="L52" s="71" t="n"/>
      <c r="M52" s="103">
        <f>IF($J52="COMPRAR",COUNTIF($J$2:J52,"COMPRAR"),"")</f>
        <v/>
      </c>
      <c r="N52" s="103">
        <f>IF($M52="","",$A52)</f>
        <v/>
      </c>
    </row>
    <row r="53">
      <c r="A53" s="71" t="n"/>
      <c r="B53" s="71" t="n"/>
      <c r="C53" s="71" t="n"/>
      <c r="D53" s="71" t="n"/>
      <c r="E53" s="112" t="n"/>
      <c r="F53" s="112">
        <f>IF($A53="","",SUMIF(Movimentos!$J$2:$J$121,$A53&amp;"|Compra",Movimentos!$E$2:$E$121)+SUMIF(Movimentos!$J$2:$J$121,$A53&amp;"|Ajuste +",Movimentos!$E$2:$E$121))</f>
        <v/>
      </c>
      <c r="G53" s="112">
        <f>IF($A53="","",SUMIF(Movimentos!$J$2:$J$121,$A53&amp;"|Retirada",Movimentos!$E$2:$E$121)+SUMIF(Movimentos!$J$2:$J$121,$A53&amp;"|Ajuste -",Movimentos!$E$2:$E$121))</f>
        <v/>
      </c>
      <c r="H53" s="112">
        <f>IF($A53="","",$E53+$F53-$G53)</f>
        <v/>
      </c>
      <c r="I53" s="112" t="n"/>
      <c r="J53" s="71">
        <f>IF($A53="","",IF($H53&lt;=$I53,"COMPRAR","OK"))</f>
        <v/>
      </c>
      <c r="K53" s="113" t="n"/>
      <c r="L53" s="71" t="n"/>
      <c r="M53" s="103">
        <f>IF($J53="COMPRAR",COUNTIF($J$2:J53,"COMPRAR"),"")</f>
        <v/>
      </c>
      <c r="N53" s="103">
        <f>IF($M53="","",$A53)</f>
        <v/>
      </c>
    </row>
    <row r="54">
      <c r="A54" s="71" t="n"/>
      <c r="B54" s="71" t="n"/>
      <c r="C54" s="71" t="n"/>
      <c r="D54" s="71" t="n"/>
      <c r="E54" s="112" t="n"/>
      <c r="F54" s="112">
        <f>IF($A54="","",SUMIF(Movimentos!$J$2:$J$121,$A54&amp;"|Compra",Movimentos!$E$2:$E$121)+SUMIF(Movimentos!$J$2:$J$121,$A54&amp;"|Ajuste +",Movimentos!$E$2:$E$121))</f>
        <v/>
      </c>
      <c r="G54" s="112">
        <f>IF($A54="","",SUMIF(Movimentos!$J$2:$J$121,$A54&amp;"|Retirada",Movimentos!$E$2:$E$121)+SUMIF(Movimentos!$J$2:$J$121,$A54&amp;"|Ajuste -",Movimentos!$E$2:$E$121))</f>
        <v/>
      </c>
      <c r="H54" s="112">
        <f>IF($A54="","",$E54+$F54-$G54)</f>
        <v/>
      </c>
      <c r="I54" s="112" t="n"/>
      <c r="J54" s="71">
        <f>IF($A54="","",IF($H54&lt;=$I54,"COMPRAR","OK"))</f>
        <v/>
      </c>
      <c r="K54" s="113" t="n"/>
      <c r="L54" s="71" t="n"/>
      <c r="M54" s="103">
        <f>IF($J54="COMPRAR",COUNTIF($J$2:J54,"COMPRAR"),"")</f>
        <v/>
      </c>
      <c r="N54" s="103">
        <f>IF($M54="","",$A54)</f>
        <v/>
      </c>
    </row>
    <row r="55">
      <c r="A55" s="71" t="n"/>
      <c r="B55" s="71" t="n"/>
      <c r="C55" s="71" t="n"/>
      <c r="D55" s="71" t="n"/>
      <c r="E55" s="112" t="n"/>
      <c r="F55" s="112">
        <f>IF($A55="","",SUMIF(Movimentos!$J$2:$J$121,$A55&amp;"|Compra",Movimentos!$E$2:$E$121)+SUMIF(Movimentos!$J$2:$J$121,$A55&amp;"|Ajuste +",Movimentos!$E$2:$E$121))</f>
        <v/>
      </c>
      <c r="G55" s="112">
        <f>IF($A55="","",SUMIF(Movimentos!$J$2:$J$121,$A55&amp;"|Retirada",Movimentos!$E$2:$E$121)+SUMIF(Movimentos!$J$2:$J$121,$A55&amp;"|Ajuste -",Movimentos!$E$2:$E$121))</f>
        <v/>
      </c>
      <c r="H55" s="112">
        <f>IF($A55="","",$E55+$F55-$G55)</f>
        <v/>
      </c>
      <c r="I55" s="112" t="n"/>
      <c r="J55" s="71">
        <f>IF($A55="","",IF($H55&lt;=$I55,"COMPRAR","OK"))</f>
        <v/>
      </c>
      <c r="K55" s="113" t="n"/>
      <c r="L55" s="71" t="n"/>
      <c r="M55" s="103">
        <f>IF($J55="COMPRAR",COUNTIF($J$2:J55,"COMPRAR"),"")</f>
        <v/>
      </c>
      <c r="N55" s="103">
        <f>IF($M55="","",$A55)</f>
        <v/>
      </c>
    </row>
    <row r="56">
      <c r="A56" s="71" t="n"/>
      <c r="B56" s="71" t="n"/>
      <c r="C56" s="71" t="n"/>
      <c r="D56" s="71" t="n"/>
      <c r="E56" s="112" t="n"/>
      <c r="F56" s="112">
        <f>IF($A56="","",SUMIF(Movimentos!$J$2:$J$121,$A56&amp;"|Compra",Movimentos!$E$2:$E$121)+SUMIF(Movimentos!$J$2:$J$121,$A56&amp;"|Ajuste +",Movimentos!$E$2:$E$121))</f>
        <v/>
      </c>
      <c r="G56" s="112">
        <f>IF($A56="","",SUMIF(Movimentos!$J$2:$J$121,$A56&amp;"|Retirada",Movimentos!$E$2:$E$121)+SUMIF(Movimentos!$J$2:$J$121,$A56&amp;"|Ajuste -",Movimentos!$E$2:$E$121))</f>
        <v/>
      </c>
      <c r="H56" s="112">
        <f>IF($A56="","",$E56+$F56-$G56)</f>
        <v/>
      </c>
      <c r="I56" s="112" t="n"/>
      <c r="J56" s="71">
        <f>IF($A56="","",IF($H56&lt;=$I56,"COMPRAR","OK"))</f>
        <v/>
      </c>
      <c r="K56" s="113" t="n"/>
      <c r="L56" s="71" t="n"/>
      <c r="M56" s="103">
        <f>IF($J56="COMPRAR",COUNTIF($J$2:J56,"COMPRAR"),"")</f>
        <v/>
      </c>
      <c r="N56" s="103">
        <f>IF($M56="","",$A56)</f>
        <v/>
      </c>
    </row>
    <row r="57">
      <c r="A57" s="71" t="n"/>
      <c r="B57" s="71" t="n"/>
      <c r="C57" s="71" t="n"/>
      <c r="D57" s="71" t="n"/>
      <c r="E57" s="112" t="n"/>
      <c r="F57" s="112">
        <f>IF($A57="","",SUMIF(Movimentos!$J$2:$J$121,$A57&amp;"|Compra",Movimentos!$E$2:$E$121)+SUMIF(Movimentos!$J$2:$J$121,$A57&amp;"|Ajuste +",Movimentos!$E$2:$E$121))</f>
        <v/>
      </c>
      <c r="G57" s="112">
        <f>IF($A57="","",SUMIF(Movimentos!$J$2:$J$121,$A57&amp;"|Retirada",Movimentos!$E$2:$E$121)+SUMIF(Movimentos!$J$2:$J$121,$A57&amp;"|Ajuste -",Movimentos!$E$2:$E$121))</f>
        <v/>
      </c>
      <c r="H57" s="112">
        <f>IF($A57="","",$E57+$F57-$G57)</f>
        <v/>
      </c>
      <c r="I57" s="112" t="n"/>
      <c r="J57" s="71">
        <f>IF($A57="","",IF($H57&lt;=$I57,"COMPRAR","OK"))</f>
        <v/>
      </c>
      <c r="K57" s="113" t="n"/>
      <c r="L57" s="71" t="n"/>
      <c r="M57" s="103">
        <f>IF($J57="COMPRAR",COUNTIF($J$2:J57,"COMPRAR"),"")</f>
        <v/>
      </c>
      <c r="N57" s="103">
        <f>IF($M57="","",$A57)</f>
        <v/>
      </c>
    </row>
    <row r="58">
      <c r="A58" s="71" t="n"/>
      <c r="B58" s="71" t="n"/>
      <c r="C58" s="71" t="n"/>
      <c r="D58" s="71" t="n"/>
      <c r="E58" s="112" t="n"/>
      <c r="F58" s="112">
        <f>IF($A58="","",SUMIF(Movimentos!$J$2:$J$121,$A58&amp;"|Compra",Movimentos!$E$2:$E$121)+SUMIF(Movimentos!$J$2:$J$121,$A58&amp;"|Ajuste +",Movimentos!$E$2:$E$121))</f>
        <v/>
      </c>
      <c r="G58" s="112">
        <f>IF($A58="","",SUMIF(Movimentos!$J$2:$J$121,$A58&amp;"|Retirada",Movimentos!$E$2:$E$121)+SUMIF(Movimentos!$J$2:$J$121,$A58&amp;"|Ajuste -",Movimentos!$E$2:$E$121))</f>
        <v/>
      </c>
      <c r="H58" s="112">
        <f>IF($A58="","",$E58+$F58-$G58)</f>
        <v/>
      </c>
      <c r="I58" s="112" t="n"/>
      <c r="J58" s="71">
        <f>IF($A58="","",IF($H58&lt;=$I58,"COMPRAR","OK"))</f>
        <v/>
      </c>
      <c r="K58" s="113" t="n"/>
      <c r="L58" s="71" t="n"/>
      <c r="M58" s="103">
        <f>IF($J58="COMPRAR",COUNTIF($J$2:J58,"COMPRAR"),"")</f>
        <v/>
      </c>
      <c r="N58" s="103">
        <f>IF($M58="","",$A58)</f>
        <v/>
      </c>
    </row>
    <row r="59">
      <c r="A59" s="71" t="n"/>
      <c r="B59" s="71" t="n"/>
      <c r="C59" s="71" t="n"/>
      <c r="D59" s="71" t="n"/>
      <c r="E59" s="112" t="n"/>
      <c r="F59" s="112">
        <f>IF($A59="","",SUMIF(Movimentos!$J$2:$J$121,$A59&amp;"|Compra",Movimentos!$E$2:$E$121)+SUMIF(Movimentos!$J$2:$J$121,$A59&amp;"|Ajuste +",Movimentos!$E$2:$E$121))</f>
        <v/>
      </c>
      <c r="G59" s="112">
        <f>IF($A59="","",SUMIF(Movimentos!$J$2:$J$121,$A59&amp;"|Retirada",Movimentos!$E$2:$E$121)+SUMIF(Movimentos!$J$2:$J$121,$A59&amp;"|Ajuste -",Movimentos!$E$2:$E$121))</f>
        <v/>
      </c>
      <c r="H59" s="112">
        <f>IF($A59="","",$E59+$F59-$G59)</f>
        <v/>
      </c>
      <c r="I59" s="112" t="n"/>
      <c r="J59" s="71">
        <f>IF($A59="","",IF($H59&lt;=$I59,"COMPRAR","OK"))</f>
        <v/>
      </c>
      <c r="K59" s="113" t="n"/>
      <c r="L59" s="71" t="n"/>
      <c r="M59" s="103">
        <f>IF($J59="COMPRAR",COUNTIF($J$2:J59,"COMPRAR"),"")</f>
        <v/>
      </c>
      <c r="N59" s="103">
        <f>IF($M59="","",$A59)</f>
        <v/>
      </c>
    </row>
    <row r="60">
      <c r="A60" s="71" t="n"/>
      <c r="B60" s="71" t="n"/>
      <c r="C60" s="71" t="n"/>
      <c r="D60" s="71" t="n"/>
      <c r="E60" s="112" t="n"/>
      <c r="F60" s="112">
        <f>IF($A60="","",SUMIF(Movimentos!$J$2:$J$121,$A60&amp;"|Compra",Movimentos!$E$2:$E$121)+SUMIF(Movimentos!$J$2:$J$121,$A60&amp;"|Ajuste +",Movimentos!$E$2:$E$121))</f>
        <v/>
      </c>
      <c r="G60" s="112">
        <f>IF($A60="","",SUMIF(Movimentos!$J$2:$J$121,$A60&amp;"|Retirada",Movimentos!$E$2:$E$121)+SUMIF(Movimentos!$J$2:$J$121,$A60&amp;"|Ajuste -",Movimentos!$E$2:$E$121))</f>
        <v/>
      </c>
      <c r="H60" s="112">
        <f>IF($A60="","",$E60+$F60-$G60)</f>
        <v/>
      </c>
      <c r="I60" s="112" t="n"/>
      <c r="J60" s="71">
        <f>IF($A60="","",IF($H60&lt;=$I60,"COMPRAR","OK"))</f>
        <v/>
      </c>
      <c r="K60" s="113" t="n"/>
      <c r="L60" s="71" t="n"/>
      <c r="M60" s="103">
        <f>IF($J60="COMPRAR",COUNTIF($J$2:J60,"COMPRAR"),"")</f>
        <v/>
      </c>
      <c r="N60" s="103">
        <f>IF($M60="","",$A60)</f>
        <v/>
      </c>
    </row>
    <row r="61">
      <c r="A61" s="71" t="n"/>
      <c r="B61" s="71" t="n"/>
      <c r="C61" s="71" t="n"/>
      <c r="D61" s="71" t="n"/>
      <c r="E61" s="112" t="n"/>
      <c r="F61" s="112">
        <f>IF($A61="","",SUMIF(Movimentos!$J$2:$J$121,$A61&amp;"|Compra",Movimentos!$E$2:$E$121)+SUMIF(Movimentos!$J$2:$J$121,$A61&amp;"|Ajuste +",Movimentos!$E$2:$E$121))</f>
        <v/>
      </c>
      <c r="G61" s="112">
        <f>IF($A61="","",SUMIF(Movimentos!$J$2:$J$121,$A61&amp;"|Retirada",Movimentos!$E$2:$E$121)+SUMIF(Movimentos!$J$2:$J$121,$A61&amp;"|Ajuste -",Movimentos!$E$2:$E$121))</f>
        <v/>
      </c>
      <c r="H61" s="112">
        <f>IF($A61="","",$E61+$F61-$G61)</f>
        <v/>
      </c>
      <c r="I61" s="112" t="n"/>
      <c r="J61" s="71">
        <f>IF($A61="","",IF($H61&lt;=$I61,"COMPRAR","OK"))</f>
        <v/>
      </c>
      <c r="K61" s="113" t="n"/>
      <c r="L61" s="71" t="n"/>
      <c r="M61" s="103">
        <f>IF($J61="COMPRAR",COUNTIF($J$2:J61,"COMPRAR"),"")</f>
        <v/>
      </c>
      <c r="N61" s="103">
        <f>IF($M61="","",$A61)</f>
        <v/>
      </c>
    </row>
    <row r="62">
      <c r="A62" s="71" t="n"/>
      <c r="B62" s="71" t="n"/>
      <c r="C62" s="71" t="n"/>
      <c r="D62" s="71" t="n"/>
      <c r="E62" s="112" t="n"/>
      <c r="F62" s="112">
        <f>IF($A62="","",SUMIF(Movimentos!$J$2:$J$121,$A62&amp;"|Compra",Movimentos!$E$2:$E$121)+SUMIF(Movimentos!$J$2:$J$121,$A62&amp;"|Ajuste +",Movimentos!$E$2:$E$121))</f>
        <v/>
      </c>
      <c r="G62" s="112">
        <f>IF($A62="","",SUMIF(Movimentos!$J$2:$J$121,$A62&amp;"|Retirada",Movimentos!$E$2:$E$121)+SUMIF(Movimentos!$J$2:$J$121,$A62&amp;"|Ajuste -",Movimentos!$E$2:$E$121))</f>
        <v/>
      </c>
      <c r="H62" s="112">
        <f>IF($A62="","",$E62+$F62-$G62)</f>
        <v/>
      </c>
      <c r="I62" s="112" t="n"/>
      <c r="J62" s="71">
        <f>IF($A62="","",IF($H62&lt;=$I62,"COMPRAR","OK"))</f>
        <v/>
      </c>
      <c r="K62" s="113" t="n"/>
      <c r="L62" s="71" t="n"/>
      <c r="M62" s="103">
        <f>IF($J62="COMPRAR",COUNTIF($J$2:J62,"COMPRAR"),"")</f>
        <v/>
      </c>
      <c r="N62" s="103">
        <f>IF($M62="","",$A62)</f>
        <v/>
      </c>
    </row>
    <row r="63">
      <c r="A63" s="71" t="n"/>
      <c r="B63" s="71" t="n"/>
      <c r="C63" s="71" t="n"/>
      <c r="D63" s="71" t="n"/>
      <c r="E63" s="112" t="n"/>
      <c r="F63" s="112">
        <f>IF($A63="","",SUMIF(Movimentos!$J$2:$J$121,$A63&amp;"|Compra",Movimentos!$E$2:$E$121)+SUMIF(Movimentos!$J$2:$J$121,$A63&amp;"|Ajuste +",Movimentos!$E$2:$E$121))</f>
        <v/>
      </c>
      <c r="G63" s="112">
        <f>IF($A63="","",SUMIF(Movimentos!$J$2:$J$121,$A63&amp;"|Retirada",Movimentos!$E$2:$E$121)+SUMIF(Movimentos!$J$2:$J$121,$A63&amp;"|Ajuste -",Movimentos!$E$2:$E$121))</f>
        <v/>
      </c>
      <c r="H63" s="112">
        <f>IF($A63="","",$E63+$F63-$G63)</f>
        <v/>
      </c>
      <c r="I63" s="112" t="n"/>
      <c r="J63" s="71">
        <f>IF($A63="","",IF($H63&lt;=$I63,"COMPRAR","OK"))</f>
        <v/>
      </c>
      <c r="K63" s="113" t="n"/>
      <c r="L63" s="71" t="n"/>
      <c r="M63" s="103">
        <f>IF($J63="COMPRAR",COUNTIF($J$2:J63,"COMPRAR"),"")</f>
        <v/>
      </c>
      <c r="N63" s="103">
        <f>IF($M63="","",$A63)</f>
        <v/>
      </c>
    </row>
    <row r="64">
      <c r="A64" s="71" t="n"/>
      <c r="B64" s="71" t="n"/>
      <c r="C64" s="71" t="n"/>
      <c r="D64" s="71" t="n"/>
      <c r="E64" s="112" t="n"/>
      <c r="F64" s="112">
        <f>IF($A64="","",SUMIF(Movimentos!$J$2:$J$121,$A64&amp;"|Compra",Movimentos!$E$2:$E$121)+SUMIF(Movimentos!$J$2:$J$121,$A64&amp;"|Ajuste +",Movimentos!$E$2:$E$121))</f>
        <v/>
      </c>
      <c r="G64" s="112">
        <f>IF($A64="","",SUMIF(Movimentos!$J$2:$J$121,$A64&amp;"|Retirada",Movimentos!$E$2:$E$121)+SUMIF(Movimentos!$J$2:$J$121,$A64&amp;"|Ajuste -",Movimentos!$E$2:$E$121))</f>
        <v/>
      </c>
      <c r="H64" s="112">
        <f>IF($A64="","",$E64+$F64-$G64)</f>
        <v/>
      </c>
      <c r="I64" s="112" t="n"/>
      <c r="J64" s="71">
        <f>IF($A64="","",IF($H64&lt;=$I64,"COMPRAR","OK"))</f>
        <v/>
      </c>
      <c r="K64" s="113" t="n"/>
      <c r="L64" s="71" t="n"/>
      <c r="M64" s="103">
        <f>IF($J64="COMPRAR",COUNTIF($J$2:J64,"COMPRAR"),"")</f>
        <v/>
      </c>
      <c r="N64" s="103">
        <f>IF($M64="","",$A64)</f>
        <v/>
      </c>
    </row>
    <row r="65">
      <c r="A65" s="71" t="n"/>
      <c r="B65" s="71" t="n"/>
      <c r="C65" s="71" t="n"/>
      <c r="D65" s="71" t="n"/>
      <c r="E65" s="112" t="n"/>
      <c r="F65" s="112">
        <f>IF($A65="","",SUMIF(Movimentos!$J$2:$J$121,$A65&amp;"|Compra",Movimentos!$E$2:$E$121)+SUMIF(Movimentos!$J$2:$J$121,$A65&amp;"|Ajuste +",Movimentos!$E$2:$E$121))</f>
        <v/>
      </c>
      <c r="G65" s="112">
        <f>IF($A65="","",SUMIF(Movimentos!$J$2:$J$121,$A65&amp;"|Retirada",Movimentos!$E$2:$E$121)+SUMIF(Movimentos!$J$2:$J$121,$A65&amp;"|Ajuste -",Movimentos!$E$2:$E$121))</f>
        <v/>
      </c>
      <c r="H65" s="112">
        <f>IF($A65="","",$E65+$F65-$G65)</f>
        <v/>
      </c>
      <c r="I65" s="112" t="n"/>
      <c r="J65" s="71">
        <f>IF($A65="","",IF($H65&lt;=$I65,"COMPRAR","OK"))</f>
        <v/>
      </c>
      <c r="K65" s="113" t="n"/>
      <c r="L65" s="71" t="n"/>
      <c r="M65" s="103">
        <f>IF($J65="COMPRAR",COUNTIF($J$2:J65,"COMPRAR"),"")</f>
        <v/>
      </c>
      <c r="N65" s="103">
        <f>IF($M65="","",$A65)</f>
        <v/>
      </c>
    </row>
    <row r="66">
      <c r="A66" s="71" t="n"/>
      <c r="B66" s="71" t="n"/>
      <c r="C66" s="71" t="n"/>
      <c r="D66" s="71" t="n"/>
      <c r="E66" s="112" t="n"/>
      <c r="F66" s="112">
        <f>IF($A66="","",SUMIF(Movimentos!$J$2:$J$121,$A66&amp;"|Compra",Movimentos!$E$2:$E$121)+SUMIF(Movimentos!$J$2:$J$121,$A66&amp;"|Ajuste +",Movimentos!$E$2:$E$121))</f>
        <v/>
      </c>
      <c r="G66" s="112">
        <f>IF($A66="","",SUMIF(Movimentos!$J$2:$J$121,$A66&amp;"|Retirada",Movimentos!$E$2:$E$121)+SUMIF(Movimentos!$J$2:$J$121,$A66&amp;"|Ajuste -",Movimentos!$E$2:$E$121))</f>
        <v/>
      </c>
      <c r="H66" s="112">
        <f>IF($A66="","",$E66+$F66-$G66)</f>
        <v/>
      </c>
      <c r="I66" s="112" t="n"/>
      <c r="J66" s="71">
        <f>IF($A66="","",IF($H66&lt;=$I66,"COMPRAR","OK"))</f>
        <v/>
      </c>
      <c r="K66" s="113" t="n"/>
      <c r="L66" s="71" t="n"/>
      <c r="M66" s="103">
        <f>IF($J66="COMPRAR",COUNTIF($J$2:J66,"COMPRAR"),"")</f>
        <v/>
      </c>
      <c r="N66" s="103">
        <f>IF($M66="","",$A66)</f>
        <v/>
      </c>
    </row>
    <row r="67">
      <c r="A67" s="71" t="n"/>
      <c r="B67" s="71" t="n"/>
      <c r="C67" s="71" t="n"/>
      <c r="D67" s="71" t="n"/>
      <c r="E67" s="112" t="n"/>
      <c r="F67" s="112">
        <f>IF($A67="","",SUMIF(Movimentos!$J$2:$J$121,$A67&amp;"|Compra",Movimentos!$E$2:$E$121)+SUMIF(Movimentos!$J$2:$J$121,$A67&amp;"|Ajuste +",Movimentos!$E$2:$E$121))</f>
        <v/>
      </c>
      <c r="G67" s="112">
        <f>IF($A67="","",SUMIF(Movimentos!$J$2:$J$121,$A67&amp;"|Retirada",Movimentos!$E$2:$E$121)+SUMIF(Movimentos!$J$2:$J$121,$A67&amp;"|Ajuste -",Movimentos!$E$2:$E$121))</f>
        <v/>
      </c>
      <c r="H67" s="112">
        <f>IF($A67="","",$E67+$F67-$G67)</f>
        <v/>
      </c>
      <c r="I67" s="112" t="n"/>
      <c r="J67" s="71">
        <f>IF($A67="","",IF($H67&lt;=$I67,"COMPRAR","OK"))</f>
        <v/>
      </c>
      <c r="K67" s="113" t="n"/>
      <c r="L67" s="71" t="n"/>
      <c r="M67" s="103">
        <f>IF($J67="COMPRAR",COUNTIF($J$2:J67,"COMPRAR"),"")</f>
        <v/>
      </c>
      <c r="N67" s="103">
        <f>IF($M67="","",$A67)</f>
        <v/>
      </c>
    </row>
    <row r="68">
      <c r="A68" s="71" t="n"/>
      <c r="B68" s="71" t="n"/>
      <c r="C68" s="71" t="n"/>
      <c r="D68" s="71" t="n"/>
      <c r="E68" s="112" t="n"/>
      <c r="F68" s="112">
        <f>IF($A68="","",SUMIF(Movimentos!$J$2:$J$121,$A68&amp;"|Compra",Movimentos!$E$2:$E$121)+SUMIF(Movimentos!$J$2:$J$121,$A68&amp;"|Ajuste +",Movimentos!$E$2:$E$121))</f>
        <v/>
      </c>
      <c r="G68" s="112">
        <f>IF($A68="","",SUMIF(Movimentos!$J$2:$J$121,$A68&amp;"|Retirada",Movimentos!$E$2:$E$121)+SUMIF(Movimentos!$J$2:$J$121,$A68&amp;"|Ajuste -",Movimentos!$E$2:$E$121))</f>
        <v/>
      </c>
      <c r="H68" s="112">
        <f>IF($A68="","",$E68+$F68-$G68)</f>
        <v/>
      </c>
      <c r="I68" s="112" t="n"/>
      <c r="J68" s="71">
        <f>IF($A68="","",IF($H68&lt;=$I68,"COMPRAR","OK"))</f>
        <v/>
      </c>
      <c r="K68" s="113" t="n"/>
      <c r="L68" s="71" t="n"/>
      <c r="M68" s="103">
        <f>IF($J68="COMPRAR",COUNTIF($J$2:J68,"COMPRAR"),"")</f>
        <v/>
      </c>
      <c r="N68" s="103">
        <f>IF($M68="","",$A68)</f>
        <v/>
      </c>
    </row>
    <row r="69">
      <c r="A69" s="71" t="n"/>
      <c r="B69" s="71" t="n"/>
      <c r="C69" s="71" t="n"/>
      <c r="D69" s="71" t="n"/>
      <c r="E69" s="112" t="n"/>
      <c r="F69" s="112">
        <f>IF($A69="","",SUMIF(Movimentos!$J$2:$J$121,$A69&amp;"|Compra",Movimentos!$E$2:$E$121)+SUMIF(Movimentos!$J$2:$J$121,$A69&amp;"|Ajuste +",Movimentos!$E$2:$E$121))</f>
        <v/>
      </c>
      <c r="G69" s="112">
        <f>IF($A69="","",SUMIF(Movimentos!$J$2:$J$121,$A69&amp;"|Retirada",Movimentos!$E$2:$E$121)+SUMIF(Movimentos!$J$2:$J$121,$A69&amp;"|Ajuste -",Movimentos!$E$2:$E$121))</f>
        <v/>
      </c>
      <c r="H69" s="112">
        <f>IF($A69="","",$E69+$F69-$G69)</f>
        <v/>
      </c>
      <c r="I69" s="112" t="n"/>
      <c r="J69" s="71">
        <f>IF($A69="","",IF($H69&lt;=$I69,"COMPRAR","OK"))</f>
        <v/>
      </c>
      <c r="K69" s="113" t="n"/>
      <c r="L69" s="71" t="n"/>
      <c r="M69" s="103">
        <f>IF($J69="COMPRAR",COUNTIF($J$2:J69,"COMPRAR"),"")</f>
        <v/>
      </c>
      <c r="N69" s="103">
        <f>IF($M69="","",$A69)</f>
        <v/>
      </c>
    </row>
    <row r="70">
      <c r="A70" s="71" t="n"/>
      <c r="B70" s="71" t="n"/>
      <c r="C70" s="71" t="n"/>
      <c r="D70" s="71" t="n"/>
      <c r="E70" s="112" t="n"/>
      <c r="F70" s="112">
        <f>IF($A70="","",SUMIF(Movimentos!$J$2:$J$121,$A70&amp;"|Compra",Movimentos!$E$2:$E$121)+SUMIF(Movimentos!$J$2:$J$121,$A70&amp;"|Ajuste +",Movimentos!$E$2:$E$121))</f>
        <v/>
      </c>
      <c r="G70" s="112">
        <f>IF($A70="","",SUMIF(Movimentos!$J$2:$J$121,$A70&amp;"|Retirada",Movimentos!$E$2:$E$121)+SUMIF(Movimentos!$J$2:$J$121,$A70&amp;"|Ajuste -",Movimentos!$E$2:$E$121))</f>
        <v/>
      </c>
      <c r="H70" s="112">
        <f>IF($A70="","",$E70+$F70-$G70)</f>
        <v/>
      </c>
      <c r="I70" s="112" t="n"/>
      <c r="J70" s="71">
        <f>IF($A70="","",IF($H70&lt;=$I70,"COMPRAR","OK"))</f>
        <v/>
      </c>
      <c r="K70" s="113" t="n"/>
      <c r="L70" s="71" t="n"/>
      <c r="M70" s="103">
        <f>IF($J70="COMPRAR",COUNTIF($J$2:J70,"COMPRAR"),"")</f>
        <v/>
      </c>
      <c r="N70" s="103">
        <f>IF($M70="","",$A70)</f>
        <v/>
      </c>
    </row>
    <row r="71">
      <c r="A71" s="71" t="n"/>
      <c r="B71" s="71" t="n"/>
      <c r="C71" s="71" t="n"/>
      <c r="D71" s="71" t="n"/>
      <c r="E71" s="112" t="n"/>
      <c r="F71" s="112">
        <f>IF($A71="","",SUMIF(Movimentos!$J$2:$J$121,$A71&amp;"|Compra",Movimentos!$E$2:$E$121)+SUMIF(Movimentos!$J$2:$J$121,$A71&amp;"|Ajuste +",Movimentos!$E$2:$E$121))</f>
        <v/>
      </c>
      <c r="G71" s="112">
        <f>IF($A71="","",SUMIF(Movimentos!$J$2:$J$121,$A71&amp;"|Retirada",Movimentos!$E$2:$E$121)+SUMIF(Movimentos!$J$2:$J$121,$A71&amp;"|Ajuste -",Movimentos!$E$2:$E$121))</f>
        <v/>
      </c>
      <c r="H71" s="112">
        <f>IF($A71="","",$E71+$F71-$G71)</f>
        <v/>
      </c>
      <c r="I71" s="112" t="n"/>
      <c r="J71" s="71">
        <f>IF($A71="","",IF($H71&lt;=$I71,"COMPRAR","OK"))</f>
        <v/>
      </c>
      <c r="K71" s="113" t="n"/>
      <c r="L71" s="71" t="n"/>
      <c r="M71" s="103">
        <f>IF($J71="COMPRAR",COUNTIF($J$2:J71,"COMPRAR"),"")</f>
        <v/>
      </c>
      <c r="N71" s="103">
        <f>IF($M71="","",$A71)</f>
        <v/>
      </c>
    </row>
    <row r="72">
      <c r="A72" s="71" t="n"/>
      <c r="B72" s="71" t="n"/>
      <c r="C72" s="71" t="n"/>
      <c r="D72" s="71" t="n"/>
      <c r="E72" s="112" t="n"/>
      <c r="F72" s="112">
        <f>IF($A72="","",SUMIF(Movimentos!$J$2:$J$121,$A72&amp;"|Compra",Movimentos!$E$2:$E$121)+SUMIF(Movimentos!$J$2:$J$121,$A72&amp;"|Ajuste +",Movimentos!$E$2:$E$121))</f>
        <v/>
      </c>
      <c r="G72" s="112">
        <f>IF($A72="","",SUMIF(Movimentos!$J$2:$J$121,$A72&amp;"|Retirada",Movimentos!$E$2:$E$121)+SUMIF(Movimentos!$J$2:$J$121,$A72&amp;"|Ajuste -",Movimentos!$E$2:$E$121))</f>
        <v/>
      </c>
      <c r="H72" s="112">
        <f>IF($A72="","",$E72+$F72-$G72)</f>
        <v/>
      </c>
      <c r="I72" s="112" t="n"/>
      <c r="J72" s="71">
        <f>IF($A72="","",IF($H72&lt;=$I72,"COMPRAR","OK"))</f>
        <v/>
      </c>
      <c r="K72" s="113" t="n"/>
      <c r="L72" s="71" t="n"/>
      <c r="M72" s="103">
        <f>IF($J72="COMPRAR",COUNTIF($J$2:J72,"COMPRAR"),"")</f>
        <v/>
      </c>
      <c r="N72" s="103">
        <f>IF($M72="","",$A72)</f>
        <v/>
      </c>
    </row>
    <row r="73">
      <c r="A73" s="71" t="n"/>
      <c r="B73" s="71" t="n"/>
      <c r="C73" s="71" t="n"/>
      <c r="D73" s="71" t="n"/>
      <c r="E73" s="112" t="n"/>
      <c r="F73" s="112">
        <f>IF($A73="","",SUMIF(Movimentos!$J$2:$J$121,$A73&amp;"|Compra",Movimentos!$E$2:$E$121)+SUMIF(Movimentos!$J$2:$J$121,$A73&amp;"|Ajuste +",Movimentos!$E$2:$E$121))</f>
        <v/>
      </c>
      <c r="G73" s="112">
        <f>IF($A73="","",SUMIF(Movimentos!$J$2:$J$121,$A73&amp;"|Retirada",Movimentos!$E$2:$E$121)+SUMIF(Movimentos!$J$2:$J$121,$A73&amp;"|Ajuste -",Movimentos!$E$2:$E$121))</f>
        <v/>
      </c>
      <c r="H73" s="112">
        <f>IF($A73="","",$E73+$F73-$G73)</f>
        <v/>
      </c>
      <c r="I73" s="112" t="n"/>
      <c r="J73" s="71">
        <f>IF($A73="","",IF($H73&lt;=$I73,"COMPRAR","OK"))</f>
        <v/>
      </c>
      <c r="K73" s="113" t="n"/>
      <c r="L73" s="71" t="n"/>
      <c r="M73" s="103">
        <f>IF($J73="COMPRAR",COUNTIF($J$2:J73,"COMPRAR"),"")</f>
        <v/>
      </c>
      <c r="N73" s="103">
        <f>IF($M73="","",$A73)</f>
        <v/>
      </c>
    </row>
    <row r="74">
      <c r="A74" s="71" t="n"/>
      <c r="B74" s="71" t="n"/>
      <c r="C74" s="71" t="n"/>
      <c r="D74" s="71" t="n"/>
      <c r="E74" s="112" t="n"/>
      <c r="F74" s="112">
        <f>IF($A74="","",SUMIF(Movimentos!$J$2:$J$121,$A74&amp;"|Compra",Movimentos!$E$2:$E$121)+SUMIF(Movimentos!$J$2:$J$121,$A74&amp;"|Ajuste +",Movimentos!$E$2:$E$121))</f>
        <v/>
      </c>
      <c r="G74" s="112">
        <f>IF($A74="","",SUMIF(Movimentos!$J$2:$J$121,$A74&amp;"|Retirada",Movimentos!$E$2:$E$121)+SUMIF(Movimentos!$J$2:$J$121,$A74&amp;"|Ajuste -",Movimentos!$E$2:$E$121))</f>
        <v/>
      </c>
      <c r="H74" s="112">
        <f>IF($A74="","",$E74+$F74-$G74)</f>
        <v/>
      </c>
      <c r="I74" s="112" t="n"/>
      <c r="J74" s="71">
        <f>IF($A74="","",IF($H74&lt;=$I74,"COMPRAR","OK"))</f>
        <v/>
      </c>
      <c r="K74" s="113" t="n"/>
      <c r="L74" s="71" t="n"/>
      <c r="M74" s="103">
        <f>IF($J74="COMPRAR",COUNTIF($J$2:J74,"COMPRAR"),"")</f>
        <v/>
      </c>
      <c r="N74" s="103">
        <f>IF($M74="","",$A74)</f>
        <v/>
      </c>
    </row>
    <row r="75">
      <c r="A75" s="71" t="n"/>
      <c r="B75" s="71" t="n"/>
      <c r="C75" s="71" t="n"/>
      <c r="D75" s="71" t="n"/>
      <c r="E75" s="112" t="n"/>
      <c r="F75" s="112">
        <f>IF($A75="","",SUMIF(Movimentos!$J$2:$J$121,$A75&amp;"|Compra",Movimentos!$E$2:$E$121)+SUMIF(Movimentos!$J$2:$J$121,$A75&amp;"|Ajuste +",Movimentos!$E$2:$E$121))</f>
        <v/>
      </c>
      <c r="G75" s="112">
        <f>IF($A75="","",SUMIF(Movimentos!$J$2:$J$121,$A75&amp;"|Retirada",Movimentos!$E$2:$E$121)+SUMIF(Movimentos!$J$2:$J$121,$A75&amp;"|Ajuste -",Movimentos!$E$2:$E$121))</f>
        <v/>
      </c>
      <c r="H75" s="112">
        <f>IF($A75="","",$E75+$F75-$G75)</f>
        <v/>
      </c>
      <c r="I75" s="112" t="n"/>
      <c r="J75" s="71">
        <f>IF($A75="","",IF($H75&lt;=$I75,"COMPRAR","OK"))</f>
        <v/>
      </c>
      <c r="K75" s="113" t="n"/>
      <c r="L75" s="71" t="n"/>
      <c r="M75" s="103">
        <f>IF($J75="COMPRAR",COUNTIF($J$2:J75,"COMPRAR"),"")</f>
        <v/>
      </c>
      <c r="N75" s="103">
        <f>IF($M75="","",$A75)</f>
        <v/>
      </c>
    </row>
    <row r="76">
      <c r="A76" s="71" t="n"/>
      <c r="B76" s="71" t="n"/>
      <c r="C76" s="71" t="n"/>
      <c r="D76" s="71" t="n"/>
      <c r="E76" s="112" t="n"/>
      <c r="F76" s="112">
        <f>IF($A76="","",SUMIF(Movimentos!$J$2:$J$121,$A76&amp;"|Compra",Movimentos!$E$2:$E$121)+SUMIF(Movimentos!$J$2:$J$121,$A76&amp;"|Ajuste +",Movimentos!$E$2:$E$121))</f>
        <v/>
      </c>
      <c r="G76" s="112">
        <f>IF($A76="","",SUMIF(Movimentos!$J$2:$J$121,$A76&amp;"|Retirada",Movimentos!$E$2:$E$121)+SUMIF(Movimentos!$J$2:$J$121,$A76&amp;"|Ajuste -",Movimentos!$E$2:$E$121))</f>
        <v/>
      </c>
      <c r="H76" s="112">
        <f>IF($A76="","",$E76+$F76-$G76)</f>
        <v/>
      </c>
      <c r="I76" s="112" t="n"/>
      <c r="J76" s="71">
        <f>IF($A76="","",IF($H76&lt;=$I76,"COMPRAR","OK"))</f>
        <v/>
      </c>
      <c r="K76" s="113" t="n"/>
      <c r="L76" s="71" t="n"/>
      <c r="M76" s="103">
        <f>IF($J76="COMPRAR",COUNTIF($J$2:J76,"COMPRAR"),"")</f>
        <v/>
      </c>
      <c r="N76" s="103">
        <f>IF($M76="","",$A76)</f>
        <v/>
      </c>
    </row>
    <row r="77">
      <c r="A77" s="71" t="n"/>
      <c r="B77" s="71" t="n"/>
      <c r="C77" s="71" t="n"/>
      <c r="D77" s="71" t="n"/>
      <c r="E77" s="112" t="n"/>
      <c r="F77" s="112">
        <f>IF($A77="","",SUMIF(Movimentos!$J$2:$J$121,$A77&amp;"|Compra",Movimentos!$E$2:$E$121)+SUMIF(Movimentos!$J$2:$J$121,$A77&amp;"|Ajuste +",Movimentos!$E$2:$E$121))</f>
        <v/>
      </c>
      <c r="G77" s="112">
        <f>IF($A77="","",SUMIF(Movimentos!$J$2:$J$121,$A77&amp;"|Retirada",Movimentos!$E$2:$E$121)+SUMIF(Movimentos!$J$2:$J$121,$A77&amp;"|Ajuste -",Movimentos!$E$2:$E$121))</f>
        <v/>
      </c>
      <c r="H77" s="112">
        <f>IF($A77="","",$E77+$F77-$G77)</f>
        <v/>
      </c>
      <c r="I77" s="112" t="n"/>
      <c r="J77" s="71">
        <f>IF($A77="","",IF($H77&lt;=$I77,"COMPRAR","OK"))</f>
        <v/>
      </c>
      <c r="K77" s="113" t="n"/>
      <c r="L77" s="71" t="n"/>
      <c r="M77" s="103">
        <f>IF($J77="COMPRAR",COUNTIF($J$2:J77,"COMPRAR"),"")</f>
        <v/>
      </c>
      <c r="N77" s="103">
        <f>IF($M77="","",$A77)</f>
        <v/>
      </c>
    </row>
    <row r="78">
      <c r="A78" s="71" t="n"/>
      <c r="B78" s="71" t="n"/>
      <c r="C78" s="71" t="n"/>
      <c r="D78" s="71" t="n"/>
      <c r="E78" s="112" t="n"/>
      <c r="F78" s="112">
        <f>IF($A78="","",SUMIF(Movimentos!$J$2:$J$121,$A78&amp;"|Compra",Movimentos!$E$2:$E$121)+SUMIF(Movimentos!$J$2:$J$121,$A78&amp;"|Ajuste +",Movimentos!$E$2:$E$121))</f>
        <v/>
      </c>
      <c r="G78" s="112">
        <f>IF($A78="","",SUMIF(Movimentos!$J$2:$J$121,$A78&amp;"|Retirada",Movimentos!$E$2:$E$121)+SUMIF(Movimentos!$J$2:$J$121,$A78&amp;"|Ajuste -",Movimentos!$E$2:$E$121))</f>
        <v/>
      </c>
      <c r="H78" s="112">
        <f>IF($A78="","",$E78+$F78-$G78)</f>
        <v/>
      </c>
      <c r="I78" s="112" t="n"/>
      <c r="J78" s="71">
        <f>IF($A78="","",IF($H78&lt;=$I78,"COMPRAR","OK"))</f>
        <v/>
      </c>
      <c r="K78" s="113" t="n"/>
      <c r="L78" s="71" t="n"/>
      <c r="M78" s="103">
        <f>IF($J78="COMPRAR",COUNTIF($J$2:J78,"COMPRAR"),"")</f>
        <v/>
      </c>
      <c r="N78" s="103">
        <f>IF($M78="","",$A78)</f>
        <v/>
      </c>
    </row>
    <row r="79">
      <c r="A79" s="71" t="n"/>
      <c r="B79" s="71" t="n"/>
      <c r="C79" s="71" t="n"/>
      <c r="D79" s="71" t="n"/>
      <c r="E79" s="112" t="n"/>
      <c r="F79" s="112">
        <f>IF($A79="","",SUMIF(Movimentos!$J$2:$J$121,$A79&amp;"|Compra",Movimentos!$E$2:$E$121)+SUMIF(Movimentos!$J$2:$J$121,$A79&amp;"|Ajuste +",Movimentos!$E$2:$E$121))</f>
        <v/>
      </c>
      <c r="G79" s="112">
        <f>IF($A79="","",SUMIF(Movimentos!$J$2:$J$121,$A79&amp;"|Retirada",Movimentos!$E$2:$E$121)+SUMIF(Movimentos!$J$2:$J$121,$A79&amp;"|Ajuste -",Movimentos!$E$2:$E$121))</f>
        <v/>
      </c>
      <c r="H79" s="112">
        <f>IF($A79="","",$E79+$F79-$G79)</f>
        <v/>
      </c>
      <c r="I79" s="112" t="n"/>
      <c r="J79" s="71">
        <f>IF($A79="","",IF($H79&lt;=$I79,"COMPRAR","OK"))</f>
        <v/>
      </c>
      <c r="K79" s="113" t="n"/>
      <c r="L79" s="71" t="n"/>
      <c r="M79" s="103">
        <f>IF($J79="COMPRAR",COUNTIF($J$2:J79,"COMPRAR"),"")</f>
        <v/>
      </c>
      <c r="N79" s="103">
        <f>IF($M79="","",$A79)</f>
        <v/>
      </c>
    </row>
    <row r="80">
      <c r="A80" s="71" t="n"/>
      <c r="B80" s="71" t="n"/>
      <c r="C80" s="71" t="n"/>
      <c r="D80" s="71" t="n"/>
      <c r="E80" s="112" t="n"/>
      <c r="F80" s="112">
        <f>IF($A80="","",SUMIF(Movimentos!$J$2:$J$121,$A80&amp;"|Compra",Movimentos!$E$2:$E$121)+SUMIF(Movimentos!$J$2:$J$121,$A80&amp;"|Ajuste +",Movimentos!$E$2:$E$121))</f>
        <v/>
      </c>
      <c r="G80" s="112">
        <f>IF($A80="","",SUMIF(Movimentos!$J$2:$J$121,$A80&amp;"|Retirada",Movimentos!$E$2:$E$121)+SUMIF(Movimentos!$J$2:$J$121,$A80&amp;"|Ajuste -",Movimentos!$E$2:$E$121))</f>
        <v/>
      </c>
      <c r="H80" s="112">
        <f>IF($A80="","",$E80+$F80-$G80)</f>
        <v/>
      </c>
      <c r="I80" s="112" t="n"/>
      <c r="J80" s="71">
        <f>IF($A80="","",IF($H80&lt;=$I80,"COMPRAR","OK"))</f>
        <v/>
      </c>
      <c r="K80" s="113" t="n"/>
      <c r="L80" s="71" t="n"/>
      <c r="M80" s="103">
        <f>IF($J80="COMPRAR",COUNTIF($J$2:J80,"COMPRAR"),"")</f>
        <v/>
      </c>
      <c r="N80" s="103">
        <f>IF($M80="","",$A80)</f>
        <v/>
      </c>
    </row>
    <row r="81">
      <c r="A81" s="71" t="n"/>
      <c r="B81" s="71" t="n"/>
      <c r="C81" s="71" t="n"/>
      <c r="D81" s="71" t="n"/>
      <c r="E81" s="112" t="n"/>
      <c r="F81" s="112">
        <f>IF($A81="","",SUMIF(Movimentos!$J$2:$J$121,$A81&amp;"|Compra",Movimentos!$E$2:$E$121)+SUMIF(Movimentos!$J$2:$J$121,$A81&amp;"|Ajuste +",Movimentos!$E$2:$E$121))</f>
        <v/>
      </c>
      <c r="G81" s="112">
        <f>IF($A81="","",SUMIF(Movimentos!$J$2:$J$121,$A81&amp;"|Retirada",Movimentos!$E$2:$E$121)+SUMIF(Movimentos!$J$2:$J$121,$A81&amp;"|Ajuste -",Movimentos!$E$2:$E$121))</f>
        <v/>
      </c>
      <c r="H81" s="112">
        <f>IF($A81="","",$E81+$F81-$G81)</f>
        <v/>
      </c>
      <c r="I81" s="112" t="n"/>
      <c r="J81" s="71">
        <f>IF($A81="","",IF($H81&lt;=$I81,"COMPRAR","OK"))</f>
        <v/>
      </c>
      <c r="K81" s="113" t="n"/>
      <c r="L81" s="71" t="n"/>
      <c r="M81" s="103">
        <f>IF($J81="COMPRAR",COUNTIF($J$2:J81,"COMPRAR"),"")</f>
        <v/>
      </c>
      <c r="N81" s="103">
        <f>IF($M81="","",$A81)</f>
        <v/>
      </c>
    </row>
    <row r="82">
      <c r="A82" s="71" t="n"/>
      <c r="B82" s="71" t="n"/>
      <c r="C82" s="71" t="n"/>
      <c r="D82" s="71" t="n"/>
      <c r="E82" s="112" t="n"/>
      <c r="F82" s="112">
        <f>IF($A82="","",SUMIF(Movimentos!$J$2:$J$121,$A82&amp;"|Compra",Movimentos!$E$2:$E$121)+SUMIF(Movimentos!$J$2:$J$121,$A82&amp;"|Ajuste +",Movimentos!$E$2:$E$121))</f>
        <v/>
      </c>
      <c r="G82" s="112">
        <f>IF($A82="","",SUMIF(Movimentos!$J$2:$J$121,$A82&amp;"|Retirada",Movimentos!$E$2:$E$121)+SUMIF(Movimentos!$J$2:$J$121,$A82&amp;"|Ajuste -",Movimentos!$E$2:$E$121))</f>
        <v/>
      </c>
      <c r="H82" s="112">
        <f>IF($A82="","",$E82+$F82-$G82)</f>
        <v/>
      </c>
      <c r="I82" s="112" t="n"/>
      <c r="J82" s="71">
        <f>IF($A82="","",IF($H82&lt;=$I82,"COMPRAR","OK"))</f>
        <v/>
      </c>
      <c r="K82" s="113" t="n"/>
      <c r="L82" s="71" t="n"/>
      <c r="M82" s="103">
        <f>IF($J82="COMPRAR",COUNTIF($J$2:J82,"COMPRAR"),"")</f>
        <v/>
      </c>
      <c r="N82" s="103">
        <f>IF($M82="","",$A82)</f>
        <v/>
      </c>
    </row>
    <row r="83">
      <c r="A83" s="71" t="n"/>
      <c r="B83" s="71" t="n"/>
      <c r="C83" s="71" t="n"/>
      <c r="D83" s="71" t="n"/>
      <c r="E83" s="112" t="n"/>
      <c r="F83" s="112">
        <f>IF($A83="","",SUMIF(Movimentos!$J$2:$J$121,$A83&amp;"|Compra",Movimentos!$E$2:$E$121)+SUMIF(Movimentos!$J$2:$J$121,$A83&amp;"|Ajuste +",Movimentos!$E$2:$E$121))</f>
        <v/>
      </c>
      <c r="G83" s="112">
        <f>IF($A83="","",SUMIF(Movimentos!$J$2:$J$121,$A83&amp;"|Retirada",Movimentos!$E$2:$E$121)+SUMIF(Movimentos!$J$2:$J$121,$A83&amp;"|Ajuste -",Movimentos!$E$2:$E$121))</f>
        <v/>
      </c>
      <c r="H83" s="112">
        <f>IF($A83="","",$E83+$F83-$G83)</f>
        <v/>
      </c>
      <c r="I83" s="112" t="n"/>
      <c r="J83" s="71">
        <f>IF($A83="","",IF($H83&lt;=$I83,"COMPRAR","OK"))</f>
        <v/>
      </c>
      <c r="K83" s="113" t="n"/>
      <c r="L83" s="71" t="n"/>
      <c r="M83" s="103">
        <f>IF($J83="COMPRAR",COUNTIF($J$2:J83,"COMPRAR"),"")</f>
        <v/>
      </c>
      <c r="N83" s="103">
        <f>IF($M83="","",$A83)</f>
        <v/>
      </c>
    </row>
    <row r="84">
      <c r="A84" s="71" t="n"/>
      <c r="B84" s="71" t="n"/>
      <c r="C84" s="71" t="n"/>
      <c r="D84" s="71" t="n"/>
      <c r="E84" s="112" t="n"/>
      <c r="F84" s="112">
        <f>IF($A84="","",SUMIF(Movimentos!$J$2:$J$121,$A84&amp;"|Compra",Movimentos!$E$2:$E$121)+SUMIF(Movimentos!$J$2:$J$121,$A84&amp;"|Ajuste +",Movimentos!$E$2:$E$121))</f>
        <v/>
      </c>
      <c r="G84" s="112">
        <f>IF($A84="","",SUMIF(Movimentos!$J$2:$J$121,$A84&amp;"|Retirada",Movimentos!$E$2:$E$121)+SUMIF(Movimentos!$J$2:$J$121,$A84&amp;"|Ajuste -",Movimentos!$E$2:$E$121))</f>
        <v/>
      </c>
      <c r="H84" s="112">
        <f>IF($A84="","",$E84+$F84-$G84)</f>
        <v/>
      </c>
      <c r="I84" s="112" t="n"/>
      <c r="J84" s="71">
        <f>IF($A84="","",IF($H84&lt;=$I84,"COMPRAR","OK"))</f>
        <v/>
      </c>
      <c r="K84" s="113" t="n"/>
      <c r="L84" s="71" t="n"/>
      <c r="M84" s="103">
        <f>IF($J84="COMPRAR",COUNTIF($J$2:J84,"COMPRAR"),"")</f>
        <v/>
      </c>
      <c r="N84" s="103">
        <f>IF($M84="","",$A84)</f>
        <v/>
      </c>
    </row>
    <row r="85">
      <c r="A85" s="71" t="n"/>
      <c r="B85" s="71" t="n"/>
      <c r="C85" s="71" t="n"/>
      <c r="D85" s="71" t="n"/>
      <c r="E85" s="112" t="n"/>
      <c r="F85" s="112">
        <f>IF($A85="","",SUMIF(Movimentos!$J$2:$J$121,$A85&amp;"|Compra",Movimentos!$E$2:$E$121)+SUMIF(Movimentos!$J$2:$J$121,$A85&amp;"|Ajuste +",Movimentos!$E$2:$E$121))</f>
        <v/>
      </c>
      <c r="G85" s="112">
        <f>IF($A85="","",SUMIF(Movimentos!$J$2:$J$121,$A85&amp;"|Retirada",Movimentos!$E$2:$E$121)+SUMIF(Movimentos!$J$2:$J$121,$A85&amp;"|Ajuste -",Movimentos!$E$2:$E$121))</f>
        <v/>
      </c>
      <c r="H85" s="112">
        <f>IF($A85="","",$E85+$F85-$G85)</f>
        <v/>
      </c>
      <c r="I85" s="112" t="n"/>
      <c r="J85" s="71">
        <f>IF($A85="","",IF($H85&lt;=$I85,"COMPRAR","OK"))</f>
        <v/>
      </c>
      <c r="K85" s="113" t="n"/>
      <c r="L85" s="71" t="n"/>
      <c r="M85" s="103">
        <f>IF($J85="COMPRAR",COUNTIF($J$2:J85,"COMPRAR"),"")</f>
        <v/>
      </c>
      <c r="N85" s="103">
        <f>IF($M85="","",$A85)</f>
        <v/>
      </c>
    </row>
    <row r="86">
      <c r="A86" s="71" t="n"/>
      <c r="B86" s="71" t="n"/>
      <c r="C86" s="71" t="n"/>
      <c r="D86" s="71" t="n"/>
      <c r="E86" s="112" t="n"/>
      <c r="F86" s="112">
        <f>IF($A86="","",SUMIF(Movimentos!$J$2:$J$121,$A86&amp;"|Compra",Movimentos!$E$2:$E$121)+SUMIF(Movimentos!$J$2:$J$121,$A86&amp;"|Ajuste +",Movimentos!$E$2:$E$121))</f>
        <v/>
      </c>
      <c r="G86" s="112">
        <f>IF($A86="","",SUMIF(Movimentos!$J$2:$J$121,$A86&amp;"|Retirada",Movimentos!$E$2:$E$121)+SUMIF(Movimentos!$J$2:$J$121,$A86&amp;"|Ajuste -",Movimentos!$E$2:$E$121))</f>
        <v/>
      </c>
      <c r="H86" s="112">
        <f>IF($A86="","",$E86+$F86-$G86)</f>
        <v/>
      </c>
      <c r="I86" s="112" t="n"/>
      <c r="J86" s="71">
        <f>IF($A86="","",IF($H86&lt;=$I86,"COMPRAR","OK"))</f>
        <v/>
      </c>
      <c r="K86" s="113" t="n"/>
      <c r="L86" s="71" t="n"/>
      <c r="M86" s="103">
        <f>IF($J86="COMPRAR",COUNTIF($J$2:J86,"COMPRAR"),"")</f>
        <v/>
      </c>
      <c r="N86" s="103">
        <f>IF($M86="","",$A86)</f>
        <v/>
      </c>
    </row>
    <row r="87">
      <c r="A87" s="71" t="n"/>
      <c r="B87" s="71" t="n"/>
      <c r="C87" s="71" t="n"/>
      <c r="D87" s="71" t="n"/>
      <c r="E87" s="112" t="n"/>
      <c r="F87" s="112">
        <f>IF($A87="","",SUMIF(Movimentos!$J$2:$J$121,$A87&amp;"|Compra",Movimentos!$E$2:$E$121)+SUMIF(Movimentos!$J$2:$J$121,$A87&amp;"|Ajuste +",Movimentos!$E$2:$E$121))</f>
        <v/>
      </c>
      <c r="G87" s="112">
        <f>IF($A87="","",SUMIF(Movimentos!$J$2:$J$121,$A87&amp;"|Retirada",Movimentos!$E$2:$E$121)+SUMIF(Movimentos!$J$2:$J$121,$A87&amp;"|Ajuste -",Movimentos!$E$2:$E$121))</f>
        <v/>
      </c>
      <c r="H87" s="112">
        <f>IF($A87="","",$E87+$F87-$G87)</f>
        <v/>
      </c>
      <c r="I87" s="112" t="n"/>
      <c r="J87" s="71">
        <f>IF($A87="","",IF($H87&lt;=$I87,"COMPRAR","OK"))</f>
        <v/>
      </c>
      <c r="K87" s="113" t="n"/>
      <c r="L87" s="71" t="n"/>
      <c r="M87" s="103">
        <f>IF($J87="COMPRAR",COUNTIF($J$2:J87,"COMPRAR"),"")</f>
        <v/>
      </c>
      <c r="N87" s="103">
        <f>IF($M87="","",$A87)</f>
        <v/>
      </c>
    </row>
    <row r="88">
      <c r="A88" s="71" t="n"/>
      <c r="B88" s="71" t="n"/>
      <c r="C88" s="71" t="n"/>
      <c r="D88" s="71" t="n"/>
      <c r="E88" s="112" t="n"/>
      <c r="F88" s="112">
        <f>IF($A88="","",SUMIF(Movimentos!$J$2:$J$121,$A88&amp;"|Compra",Movimentos!$E$2:$E$121)+SUMIF(Movimentos!$J$2:$J$121,$A88&amp;"|Ajuste +",Movimentos!$E$2:$E$121))</f>
        <v/>
      </c>
      <c r="G88" s="112">
        <f>IF($A88="","",SUMIF(Movimentos!$J$2:$J$121,$A88&amp;"|Retirada",Movimentos!$E$2:$E$121)+SUMIF(Movimentos!$J$2:$J$121,$A88&amp;"|Ajuste -",Movimentos!$E$2:$E$121))</f>
        <v/>
      </c>
      <c r="H88" s="112">
        <f>IF($A88="","",$E88+$F88-$G88)</f>
        <v/>
      </c>
      <c r="I88" s="112" t="n"/>
      <c r="J88" s="71">
        <f>IF($A88="","",IF($H88&lt;=$I88,"COMPRAR","OK"))</f>
        <v/>
      </c>
      <c r="K88" s="113" t="n"/>
      <c r="L88" s="71" t="n"/>
      <c r="M88" s="103">
        <f>IF($J88="COMPRAR",COUNTIF($J$2:J88,"COMPRAR"),"")</f>
        <v/>
      </c>
      <c r="N88" s="103">
        <f>IF($M88="","",$A88)</f>
        <v/>
      </c>
    </row>
    <row r="89">
      <c r="A89" s="71" t="n"/>
      <c r="B89" s="71" t="n"/>
      <c r="C89" s="71" t="n"/>
      <c r="D89" s="71" t="n"/>
      <c r="E89" s="112" t="n"/>
      <c r="F89" s="112">
        <f>IF($A89="","",SUMIF(Movimentos!$J$2:$J$121,$A89&amp;"|Compra",Movimentos!$E$2:$E$121)+SUMIF(Movimentos!$J$2:$J$121,$A89&amp;"|Ajuste +",Movimentos!$E$2:$E$121))</f>
        <v/>
      </c>
      <c r="G89" s="112">
        <f>IF($A89="","",SUMIF(Movimentos!$J$2:$J$121,$A89&amp;"|Retirada",Movimentos!$E$2:$E$121)+SUMIF(Movimentos!$J$2:$J$121,$A89&amp;"|Ajuste -",Movimentos!$E$2:$E$121))</f>
        <v/>
      </c>
      <c r="H89" s="112">
        <f>IF($A89="","",$E89+$F89-$G89)</f>
        <v/>
      </c>
      <c r="I89" s="112" t="n"/>
      <c r="J89" s="71">
        <f>IF($A89="","",IF($H89&lt;=$I89,"COMPRAR","OK"))</f>
        <v/>
      </c>
      <c r="K89" s="113" t="n"/>
      <c r="L89" s="71" t="n"/>
      <c r="M89" s="103">
        <f>IF($J89="COMPRAR",COUNTIF($J$2:J89,"COMPRAR"),"")</f>
        <v/>
      </c>
      <c r="N89" s="103">
        <f>IF($M89="","",$A89)</f>
        <v/>
      </c>
    </row>
    <row r="90">
      <c r="A90" s="71" t="n"/>
      <c r="B90" s="71" t="n"/>
      <c r="C90" s="71" t="n"/>
      <c r="D90" s="71" t="n"/>
      <c r="E90" s="112" t="n"/>
      <c r="F90" s="112">
        <f>IF($A90="","",SUMIF(Movimentos!$J$2:$J$121,$A90&amp;"|Compra",Movimentos!$E$2:$E$121)+SUMIF(Movimentos!$J$2:$J$121,$A90&amp;"|Ajuste +",Movimentos!$E$2:$E$121))</f>
        <v/>
      </c>
      <c r="G90" s="112">
        <f>IF($A90="","",SUMIF(Movimentos!$J$2:$J$121,$A90&amp;"|Retirada",Movimentos!$E$2:$E$121)+SUMIF(Movimentos!$J$2:$J$121,$A90&amp;"|Ajuste -",Movimentos!$E$2:$E$121))</f>
        <v/>
      </c>
      <c r="H90" s="112">
        <f>IF($A90="","",$E90+$F90-$G90)</f>
        <v/>
      </c>
      <c r="I90" s="112" t="n"/>
      <c r="J90" s="71">
        <f>IF($A90="","",IF($H90&lt;=$I90,"COMPRAR","OK"))</f>
        <v/>
      </c>
      <c r="K90" s="113" t="n"/>
      <c r="L90" s="71" t="n"/>
      <c r="M90" s="103">
        <f>IF($J90="COMPRAR",COUNTIF($J$2:J90,"COMPRAR"),"")</f>
        <v/>
      </c>
      <c r="N90" s="103">
        <f>IF($M90="","",$A90)</f>
        <v/>
      </c>
    </row>
    <row r="91">
      <c r="A91" s="71" t="n"/>
      <c r="B91" s="71" t="n"/>
      <c r="C91" s="71" t="n"/>
      <c r="D91" s="71" t="n"/>
      <c r="E91" s="112" t="n"/>
      <c r="F91" s="112">
        <f>IF($A91="","",SUMIF(Movimentos!$J$2:$J$121,$A91&amp;"|Compra",Movimentos!$E$2:$E$121)+SUMIF(Movimentos!$J$2:$J$121,$A91&amp;"|Ajuste +",Movimentos!$E$2:$E$121))</f>
        <v/>
      </c>
      <c r="G91" s="112">
        <f>IF($A91="","",SUMIF(Movimentos!$J$2:$J$121,$A91&amp;"|Retirada",Movimentos!$E$2:$E$121)+SUMIF(Movimentos!$J$2:$J$121,$A91&amp;"|Ajuste -",Movimentos!$E$2:$E$121))</f>
        <v/>
      </c>
      <c r="H91" s="112">
        <f>IF($A91="","",$E91+$F91-$G91)</f>
        <v/>
      </c>
      <c r="I91" s="112" t="n"/>
      <c r="J91" s="71">
        <f>IF($A91="","",IF($H91&lt;=$I91,"COMPRAR","OK"))</f>
        <v/>
      </c>
      <c r="K91" s="113" t="n"/>
      <c r="L91" s="71" t="n"/>
      <c r="M91" s="103">
        <f>IF($J91="COMPRAR",COUNTIF($J$2:J91,"COMPRAR"),"")</f>
        <v/>
      </c>
      <c r="N91" s="103">
        <f>IF($M91="","",$A91)</f>
        <v/>
      </c>
    </row>
    <row r="92">
      <c r="A92" s="71" t="n"/>
      <c r="B92" s="71" t="n"/>
      <c r="C92" s="71" t="n"/>
      <c r="D92" s="71" t="n"/>
      <c r="E92" s="112" t="n"/>
      <c r="F92" s="112">
        <f>IF($A92="","",SUMIF(Movimentos!$J$2:$J$121,$A92&amp;"|Compra",Movimentos!$E$2:$E$121)+SUMIF(Movimentos!$J$2:$J$121,$A92&amp;"|Ajuste +",Movimentos!$E$2:$E$121))</f>
        <v/>
      </c>
      <c r="G92" s="112">
        <f>IF($A92="","",SUMIF(Movimentos!$J$2:$J$121,$A92&amp;"|Retirada",Movimentos!$E$2:$E$121)+SUMIF(Movimentos!$J$2:$J$121,$A92&amp;"|Ajuste -",Movimentos!$E$2:$E$121))</f>
        <v/>
      </c>
      <c r="H92" s="112">
        <f>IF($A92="","",$E92+$F92-$G92)</f>
        <v/>
      </c>
      <c r="I92" s="112" t="n"/>
      <c r="J92" s="71">
        <f>IF($A92="","",IF($H92&lt;=$I92,"COMPRAR","OK"))</f>
        <v/>
      </c>
      <c r="K92" s="113" t="n"/>
      <c r="L92" s="71" t="n"/>
      <c r="M92" s="103">
        <f>IF($J92="COMPRAR",COUNTIF($J$2:J92,"COMPRAR"),"")</f>
        <v/>
      </c>
      <c r="N92" s="103">
        <f>IF($M92="","",$A92)</f>
        <v/>
      </c>
    </row>
    <row r="93">
      <c r="A93" s="71" t="n"/>
      <c r="B93" s="71" t="n"/>
      <c r="C93" s="71" t="n"/>
      <c r="D93" s="71" t="n"/>
      <c r="E93" s="112" t="n"/>
      <c r="F93" s="112">
        <f>IF($A93="","",SUMIF(Movimentos!$J$2:$J$121,$A93&amp;"|Compra",Movimentos!$E$2:$E$121)+SUMIF(Movimentos!$J$2:$J$121,$A93&amp;"|Ajuste +",Movimentos!$E$2:$E$121))</f>
        <v/>
      </c>
      <c r="G93" s="112">
        <f>IF($A93="","",SUMIF(Movimentos!$J$2:$J$121,$A93&amp;"|Retirada",Movimentos!$E$2:$E$121)+SUMIF(Movimentos!$J$2:$J$121,$A93&amp;"|Ajuste -",Movimentos!$E$2:$E$121))</f>
        <v/>
      </c>
      <c r="H93" s="112">
        <f>IF($A93="","",$E93+$F93-$G93)</f>
        <v/>
      </c>
      <c r="I93" s="112" t="n"/>
      <c r="J93" s="71">
        <f>IF($A93="","",IF($H93&lt;=$I93,"COMPRAR","OK"))</f>
        <v/>
      </c>
      <c r="K93" s="113" t="n"/>
      <c r="L93" s="71" t="n"/>
      <c r="M93" s="103">
        <f>IF($J93="COMPRAR",COUNTIF($J$2:J93,"COMPRAR"),"")</f>
        <v/>
      </c>
      <c r="N93" s="103">
        <f>IF($M93="","",$A93)</f>
        <v/>
      </c>
    </row>
    <row r="94">
      <c r="A94" s="71" t="n"/>
      <c r="B94" s="71" t="n"/>
      <c r="C94" s="71" t="n"/>
      <c r="D94" s="71" t="n"/>
      <c r="E94" s="112" t="n"/>
      <c r="F94" s="112">
        <f>IF($A94="","",SUMIF(Movimentos!$J$2:$J$121,$A94&amp;"|Compra",Movimentos!$E$2:$E$121)+SUMIF(Movimentos!$J$2:$J$121,$A94&amp;"|Ajuste +",Movimentos!$E$2:$E$121))</f>
        <v/>
      </c>
      <c r="G94" s="112">
        <f>IF($A94="","",SUMIF(Movimentos!$J$2:$J$121,$A94&amp;"|Retirada",Movimentos!$E$2:$E$121)+SUMIF(Movimentos!$J$2:$J$121,$A94&amp;"|Ajuste -",Movimentos!$E$2:$E$121))</f>
        <v/>
      </c>
      <c r="H94" s="112">
        <f>IF($A94="","",$E94+$F94-$G94)</f>
        <v/>
      </c>
      <c r="I94" s="112" t="n"/>
      <c r="J94" s="71">
        <f>IF($A94="","",IF($H94&lt;=$I94,"COMPRAR","OK"))</f>
        <v/>
      </c>
      <c r="K94" s="113" t="n"/>
      <c r="L94" s="71" t="n"/>
      <c r="M94" s="103">
        <f>IF($J94="COMPRAR",COUNTIF($J$2:J94,"COMPRAR"),"")</f>
        <v/>
      </c>
      <c r="N94" s="103">
        <f>IF($M94="","",$A94)</f>
        <v/>
      </c>
    </row>
    <row r="95">
      <c r="A95" s="71" t="n"/>
      <c r="B95" s="71" t="n"/>
      <c r="C95" s="71" t="n"/>
      <c r="D95" s="71" t="n"/>
      <c r="E95" s="112" t="n"/>
      <c r="F95" s="112">
        <f>IF($A95="","",SUMIF(Movimentos!$J$2:$J$121,$A95&amp;"|Compra",Movimentos!$E$2:$E$121)+SUMIF(Movimentos!$J$2:$J$121,$A95&amp;"|Ajuste +",Movimentos!$E$2:$E$121))</f>
        <v/>
      </c>
      <c r="G95" s="112">
        <f>IF($A95="","",SUMIF(Movimentos!$J$2:$J$121,$A95&amp;"|Retirada",Movimentos!$E$2:$E$121)+SUMIF(Movimentos!$J$2:$J$121,$A95&amp;"|Ajuste -",Movimentos!$E$2:$E$121))</f>
        <v/>
      </c>
      <c r="H95" s="112">
        <f>IF($A95="","",$E95+$F95-$G95)</f>
        <v/>
      </c>
      <c r="I95" s="112" t="n"/>
      <c r="J95" s="71">
        <f>IF($A95="","",IF($H95&lt;=$I95,"COMPRAR","OK"))</f>
        <v/>
      </c>
      <c r="K95" s="113" t="n"/>
      <c r="L95" s="71" t="n"/>
      <c r="M95" s="103">
        <f>IF($J95="COMPRAR",COUNTIF($J$2:J95,"COMPRAR"),"")</f>
        <v/>
      </c>
      <c r="N95" s="103">
        <f>IF($M95="","",$A95)</f>
        <v/>
      </c>
    </row>
    <row r="96">
      <c r="A96" s="71" t="n"/>
      <c r="B96" s="71" t="n"/>
      <c r="C96" s="71" t="n"/>
      <c r="D96" s="71" t="n"/>
      <c r="E96" s="112" t="n"/>
      <c r="F96" s="112">
        <f>IF($A96="","",SUMIF(Movimentos!$J$2:$J$121,$A96&amp;"|Compra",Movimentos!$E$2:$E$121)+SUMIF(Movimentos!$J$2:$J$121,$A96&amp;"|Ajuste +",Movimentos!$E$2:$E$121))</f>
        <v/>
      </c>
      <c r="G96" s="112">
        <f>IF($A96="","",SUMIF(Movimentos!$J$2:$J$121,$A96&amp;"|Retirada",Movimentos!$E$2:$E$121)+SUMIF(Movimentos!$J$2:$J$121,$A96&amp;"|Ajuste -",Movimentos!$E$2:$E$121))</f>
        <v/>
      </c>
      <c r="H96" s="112">
        <f>IF($A96="","",$E96+$F96-$G96)</f>
        <v/>
      </c>
      <c r="I96" s="112" t="n"/>
      <c r="J96" s="71">
        <f>IF($A96="","",IF($H96&lt;=$I96,"COMPRAR","OK"))</f>
        <v/>
      </c>
      <c r="K96" s="113" t="n"/>
      <c r="L96" s="71" t="n"/>
      <c r="M96" s="103">
        <f>IF($J96="COMPRAR",COUNTIF($J$2:J96,"COMPRAR"),"")</f>
        <v/>
      </c>
      <c r="N96" s="103">
        <f>IF($M96="","",$A96)</f>
        <v/>
      </c>
    </row>
    <row r="97">
      <c r="A97" s="71" t="n"/>
      <c r="B97" s="71" t="n"/>
      <c r="C97" s="71" t="n"/>
      <c r="D97" s="71" t="n"/>
      <c r="E97" s="112" t="n"/>
      <c r="F97" s="112">
        <f>IF($A97="","",SUMIF(Movimentos!$J$2:$J$121,$A97&amp;"|Compra",Movimentos!$E$2:$E$121)+SUMIF(Movimentos!$J$2:$J$121,$A97&amp;"|Ajuste +",Movimentos!$E$2:$E$121))</f>
        <v/>
      </c>
      <c r="G97" s="112">
        <f>IF($A97="","",SUMIF(Movimentos!$J$2:$J$121,$A97&amp;"|Retirada",Movimentos!$E$2:$E$121)+SUMIF(Movimentos!$J$2:$J$121,$A97&amp;"|Ajuste -",Movimentos!$E$2:$E$121))</f>
        <v/>
      </c>
      <c r="H97" s="112">
        <f>IF($A97="","",$E97+$F97-$G97)</f>
        <v/>
      </c>
      <c r="I97" s="112" t="n"/>
      <c r="J97" s="71">
        <f>IF($A97="","",IF($H97&lt;=$I97,"COMPRAR","OK"))</f>
        <v/>
      </c>
      <c r="K97" s="113" t="n"/>
      <c r="L97" s="71" t="n"/>
      <c r="M97" s="103">
        <f>IF($J97="COMPRAR",COUNTIF($J$2:J97,"COMPRAR"),"")</f>
        <v/>
      </c>
      <c r="N97" s="103">
        <f>IF($M97="","",$A97)</f>
        <v/>
      </c>
    </row>
    <row r="98">
      <c r="A98" s="71" t="n"/>
      <c r="B98" s="71" t="n"/>
      <c r="C98" s="71" t="n"/>
      <c r="D98" s="71" t="n"/>
      <c r="E98" s="112" t="n"/>
      <c r="F98" s="112">
        <f>IF($A98="","",SUMIF(Movimentos!$J$2:$J$121,$A98&amp;"|Compra",Movimentos!$E$2:$E$121)+SUMIF(Movimentos!$J$2:$J$121,$A98&amp;"|Ajuste +",Movimentos!$E$2:$E$121))</f>
        <v/>
      </c>
      <c r="G98" s="112">
        <f>IF($A98="","",SUMIF(Movimentos!$J$2:$J$121,$A98&amp;"|Retirada",Movimentos!$E$2:$E$121)+SUMIF(Movimentos!$J$2:$J$121,$A98&amp;"|Ajuste -",Movimentos!$E$2:$E$121))</f>
        <v/>
      </c>
      <c r="H98" s="112">
        <f>IF($A98="","",$E98+$F98-$G98)</f>
        <v/>
      </c>
      <c r="I98" s="112" t="n"/>
      <c r="J98" s="71">
        <f>IF($A98="","",IF($H98&lt;=$I98,"COMPRAR","OK"))</f>
        <v/>
      </c>
      <c r="K98" s="113" t="n"/>
      <c r="L98" s="71" t="n"/>
      <c r="M98" s="103">
        <f>IF($J98="COMPRAR",COUNTIF($J$2:J98,"COMPRAR"),"")</f>
        <v/>
      </c>
      <c r="N98" s="103">
        <f>IF($M98="","",$A98)</f>
        <v/>
      </c>
    </row>
    <row r="99">
      <c r="A99" s="71" t="n"/>
      <c r="B99" s="71" t="n"/>
      <c r="C99" s="71" t="n"/>
      <c r="D99" s="71" t="n"/>
      <c r="E99" s="112" t="n"/>
      <c r="F99" s="112">
        <f>IF($A99="","",SUMIF(Movimentos!$J$2:$J$121,$A99&amp;"|Compra",Movimentos!$E$2:$E$121)+SUMIF(Movimentos!$J$2:$J$121,$A99&amp;"|Ajuste +",Movimentos!$E$2:$E$121))</f>
        <v/>
      </c>
      <c r="G99" s="112">
        <f>IF($A99="","",SUMIF(Movimentos!$J$2:$J$121,$A99&amp;"|Retirada",Movimentos!$E$2:$E$121)+SUMIF(Movimentos!$J$2:$J$121,$A99&amp;"|Ajuste -",Movimentos!$E$2:$E$121))</f>
        <v/>
      </c>
      <c r="H99" s="112">
        <f>IF($A99="","",$E99+$F99-$G99)</f>
        <v/>
      </c>
      <c r="I99" s="112" t="n"/>
      <c r="J99" s="71">
        <f>IF($A99="","",IF($H99&lt;=$I99,"COMPRAR","OK"))</f>
        <v/>
      </c>
      <c r="K99" s="113" t="n"/>
      <c r="L99" s="71" t="n"/>
      <c r="M99" s="103">
        <f>IF($J99="COMPRAR",COUNTIF($J$2:J99,"COMPRAR"),"")</f>
        <v/>
      </c>
      <c r="N99" s="103">
        <f>IF($M99="","",$A99)</f>
        <v/>
      </c>
    </row>
    <row r="100">
      <c r="A100" s="71" t="n"/>
      <c r="B100" s="71" t="n"/>
      <c r="C100" s="71" t="n"/>
      <c r="D100" s="71" t="n"/>
      <c r="E100" s="112" t="n"/>
      <c r="F100" s="112">
        <f>IF($A100="","",SUMIF(Movimentos!$J$2:$J$121,$A100&amp;"|Compra",Movimentos!$E$2:$E$121)+SUMIF(Movimentos!$J$2:$J$121,$A100&amp;"|Ajuste +",Movimentos!$E$2:$E$121))</f>
        <v/>
      </c>
      <c r="G100" s="112">
        <f>IF($A100="","",SUMIF(Movimentos!$J$2:$J$121,$A100&amp;"|Retirada",Movimentos!$E$2:$E$121)+SUMIF(Movimentos!$J$2:$J$121,$A100&amp;"|Ajuste -",Movimentos!$E$2:$E$121))</f>
        <v/>
      </c>
      <c r="H100" s="112">
        <f>IF($A100="","",$E100+$F100-$G100)</f>
        <v/>
      </c>
      <c r="I100" s="112" t="n"/>
      <c r="J100" s="71">
        <f>IF($A100="","",IF($H100&lt;=$I100,"COMPRAR","OK"))</f>
        <v/>
      </c>
      <c r="K100" s="113" t="n"/>
      <c r="L100" s="71" t="n"/>
      <c r="M100" s="103">
        <f>IF($J100="COMPRAR",COUNTIF($J$2:J100,"COMPRAR"),"")</f>
        <v/>
      </c>
      <c r="N100" s="103">
        <f>IF($M100="","",$A100)</f>
        <v/>
      </c>
    </row>
    <row r="101">
      <c r="A101" s="71" t="n"/>
      <c r="B101" s="71" t="n"/>
      <c r="C101" s="71" t="n"/>
      <c r="D101" s="71" t="n"/>
      <c r="E101" s="112" t="n"/>
      <c r="F101" s="112">
        <f>IF($A101="","",SUMIF(Movimentos!$J$2:$J$121,$A101&amp;"|Compra",Movimentos!$E$2:$E$121)+SUMIF(Movimentos!$J$2:$J$121,$A101&amp;"|Ajuste +",Movimentos!$E$2:$E$121))</f>
        <v/>
      </c>
      <c r="G101" s="112">
        <f>IF($A101="","",SUMIF(Movimentos!$J$2:$J$121,$A101&amp;"|Retirada",Movimentos!$E$2:$E$121)+SUMIF(Movimentos!$J$2:$J$121,$A101&amp;"|Ajuste -",Movimentos!$E$2:$E$121))</f>
        <v/>
      </c>
      <c r="H101" s="112">
        <f>IF($A101="","",$E101+$F101-$G101)</f>
        <v/>
      </c>
      <c r="I101" s="112" t="n"/>
      <c r="J101" s="71">
        <f>IF($A101="","",IF($H101&lt;=$I101,"COMPRAR","OK"))</f>
        <v/>
      </c>
      <c r="K101" s="113" t="n"/>
      <c r="L101" s="71" t="n"/>
      <c r="M101" s="103">
        <f>IF($J101="COMPRAR",COUNTIF($J$2:J101,"COMPRAR"),"")</f>
        <v/>
      </c>
      <c r="N101" s="103">
        <f>IF($M101="","",$A101)</f>
        <v/>
      </c>
    </row>
    <row r="102">
      <c r="A102" s="71" t="n"/>
      <c r="B102" s="71" t="n"/>
      <c r="C102" s="71" t="n"/>
      <c r="D102" s="71" t="n"/>
      <c r="E102" s="112" t="n"/>
      <c r="F102" s="112">
        <f>IF($A102="","",SUMIF(Movimentos!$J$2:$J$121,$A102&amp;"|Compra",Movimentos!$E$2:$E$121)+SUMIF(Movimentos!$J$2:$J$121,$A102&amp;"|Ajuste +",Movimentos!$E$2:$E$121))</f>
        <v/>
      </c>
      <c r="G102" s="112">
        <f>IF($A102="","",SUMIF(Movimentos!$J$2:$J$121,$A102&amp;"|Retirada",Movimentos!$E$2:$E$121)+SUMIF(Movimentos!$J$2:$J$121,$A102&amp;"|Ajuste -",Movimentos!$E$2:$E$121))</f>
        <v/>
      </c>
      <c r="H102" s="112">
        <f>IF($A102="","",$E102+$F102-$G102)</f>
        <v/>
      </c>
      <c r="I102" s="112" t="n"/>
      <c r="J102" s="71">
        <f>IF($A102="","",IF($H102&lt;=$I102,"COMPRAR","OK"))</f>
        <v/>
      </c>
      <c r="K102" s="113" t="n"/>
      <c r="L102" s="71" t="n"/>
      <c r="M102" s="103">
        <f>IF($J102="COMPRAR",COUNTIF($J$2:J102,"COMPRAR"),"")</f>
        <v/>
      </c>
      <c r="N102" s="103">
        <f>IF($M102="","",$A102)</f>
        <v/>
      </c>
    </row>
    <row r="103">
      <c r="A103" s="71" t="n"/>
      <c r="B103" s="71" t="n"/>
      <c r="C103" s="71" t="n"/>
      <c r="D103" s="71" t="n"/>
      <c r="E103" s="112" t="n"/>
      <c r="F103" s="112">
        <f>IF($A103="","",SUMIF(Movimentos!$J$2:$J$121,$A103&amp;"|Compra",Movimentos!$E$2:$E$121)+SUMIF(Movimentos!$J$2:$J$121,$A103&amp;"|Ajuste +",Movimentos!$E$2:$E$121))</f>
        <v/>
      </c>
      <c r="G103" s="112">
        <f>IF($A103="","",SUMIF(Movimentos!$J$2:$J$121,$A103&amp;"|Retirada",Movimentos!$E$2:$E$121)+SUMIF(Movimentos!$J$2:$J$121,$A103&amp;"|Ajuste -",Movimentos!$E$2:$E$121))</f>
        <v/>
      </c>
      <c r="H103" s="112">
        <f>IF($A103="","",$E103+$F103-$G103)</f>
        <v/>
      </c>
      <c r="I103" s="112" t="n"/>
      <c r="J103" s="71">
        <f>IF($A103="","",IF($H103&lt;=$I103,"COMPRAR","OK"))</f>
        <v/>
      </c>
      <c r="K103" s="113" t="n"/>
      <c r="L103" s="71" t="n"/>
      <c r="M103" s="103">
        <f>IF($J103="COMPRAR",COUNTIF($J$2:J103,"COMPRAR"),"")</f>
        <v/>
      </c>
      <c r="N103" s="103">
        <f>IF($M103="","",$A103)</f>
        <v/>
      </c>
    </row>
    <row r="104">
      <c r="A104" s="71" t="n"/>
      <c r="B104" s="71" t="n"/>
      <c r="C104" s="71" t="n"/>
      <c r="D104" s="71" t="n"/>
      <c r="E104" s="112" t="n"/>
      <c r="F104" s="112">
        <f>IF($A104="","",SUMIF(Movimentos!$J$2:$J$121,$A104&amp;"|Compra",Movimentos!$E$2:$E$121)+SUMIF(Movimentos!$J$2:$J$121,$A104&amp;"|Ajuste +",Movimentos!$E$2:$E$121))</f>
        <v/>
      </c>
      <c r="G104" s="112">
        <f>IF($A104="","",SUMIF(Movimentos!$J$2:$J$121,$A104&amp;"|Retirada",Movimentos!$E$2:$E$121)+SUMIF(Movimentos!$J$2:$J$121,$A104&amp;"|Ajuste -",Movimentos!$E$2:$E$121))</f>
        <v/>
      </c>
      <c r="H104" s="112">
        <f>IF($A104="","",$E104+$F104-$G104)</f>
        <v/>
      </c>
      <c r="I104" s="112" t="n"/>
      <c r="J104" s="71">
        <f>IF($A104="","",IF($H104&lt;=$I104,"COMPRAR","OK"))</f>
        <v/>
      </c>
      <c r="K104" s="113" t="n"/>
      <c r="L104" s="71" t="n"/>
      <c r="M104" s="103">
        <f>IF($J104="COMPRAR",COUNTIF($J$2:J104,"COMPRAR"),"")</f>
        <v/>
      </c>
      <c r="N104" s="103">
        <f>IF($M104="","",$A104)</f>
        <v/>
      </c>
    </row>
    <row r="105">
      <c r="A105" s="71" t="n"/>
      <c r="B105" s="71" t="n"/>
      <c r="C105" s="71" t="n"/>
      <c r="D105" s="71" t="n"/>
      <c r="E105" s="112" t="n"/>
      <c r="F105" s="112">
        <f>IF($A105="","",SUMIF(Movimentos!$J$2:$J$121,$A105&amp;"|Compra",Movimentos!$E$2:$E$121)+SUMIF(Movimentos!$J$2:$J$121,$A105&amp;"|Ajuste +",Movimentos!$E$2:$E$121))</f>
        <v/>
      </c>
      <c r="G105" s="112">
        <f>IF($A105="","",SUMIF(Movimentos!$J$2:$J$121,$A105&amp;"|Retirada",Movimentos!$E$2:$E$121)+SUMIF(Movimentos!$J$2:$J$121,$A105&amp;"|Ajuste -",Movimentos!$E$2:$E$121))</f>
        <v/>
      </c>
      <c r="H105" s="112">
        <f>IF($A105="","",$E105+$F105-$G105)</f>
        <v/>
      </c>
      <c r="I105" s="112" t="n"/>
      <c r="J105" s="71">
        <f>IF($A105="","",IF($H105&lt;=$I105,"COMPRAR","OK"))</f>
        <v/>
      </c>
      <c r="K105" s="113" t="n"/>
      <c r="L105" s="71" t="n"/>
      <c r="M105" s="103">
        <f>IF($J105="COMPRAR",COUNTIF($J$2:J105,"COMPRAR"),"")</f>
        <v/>
      </c>
      <c r="N105" s="103">
        <f>IF($M105="","",$A105)</f>
        <v/>
      </c>
    </row>
    <row r="106">
      <c r="A106" s="71" t="n"/>
      <c r="B106" s="71" t="n"/>
      <c r="C106" s="71" t="n"/>
      <c r="D106" s="71" t="n"/>
      <c r="E106" s="112" t="n"/>
      <c r="F106" s="112">
        <f>IF($A106="","",SUMIF(Movimentos!$J$2:$J$121,$A106&amp;"|Compra",Movimentos!$E$2:$E$121)+SUMIF(Movimentos!$J$2:$J$121,$A106&amp;"|Ajuste +",Movimentos!$E$2:$E$121))</f>
        <v/>
      </c>
      <c r="G106" s="112">
        <f>IF($A106="","",SUMIF(Movimentos!$J$2:$J$121,$A106&amp;"|Retirada",Movimentos!$E$2:$E$121)+SUMIF(Movimentos!$J$2:$J$121,$A106&amp;"|Ajuste -",Movimentos!$E$2:$E$121))</f>
        <v/>
      </c>
      <c r="H106" s="112">
        <f>IF($A106="","",$E106+$F106-$G106)</f>
        <v/>
      </c>
      <c r="I106" s="112" t="n"/>
      <c r="J106" s="71">
        <f>IF($A106="","",IF($H106&lt;=$I106,"COMPRAR","OK"))</f>
        <v/>
      </c>
      <c r="K106" s="113" t="n"/>
      <c r="L106" s="71" t="n"/>
      <c r="M106" s="103">
        <f>IF($J106="COMPRAR",COUNTIF($J$2:J106,"COMPRAR"),"")</f>
        <v/>
      </c>
      <c r="N106" s="103">
        <f>IF($M106="","",$A106)</f>
        <v/>
      </c>
    </row>
    <row r="107">
      <c r="A107" s="71" t="n"/>
      <c r="B107" s="71" t="n"/>
      <c r="C107" s="71" t="n"/>
      <c r="D107" s="71" t="n"/>
      <c r="E107" s="112" t="n"/>
      <c r="F107" s="112">
        <f>IF($A107="","",SUMIF(Movimentos!$J$2:$J$121,$A107&amp;"|Compra",Movimentos!$E$2:$E$121)+SUMIF(Movimentos!$J$2:$J$121,$A107&amp;"|Ajuste +",Movimentos!$E$2:$E$121))</f>
        <v/>
      </c>
      <c r="G107" s="112">
        <f>IF($A107="","",SUMIF(Movimentos!$J$2:$J$121,$A107&amp;"|Retirada",Movimentos!$E$2:$E$121)+SUMIF(Movimentos!$J$2:$J$121,$A107&amp;"|Ajuste -",Movimentos!$E$2:$E$121))</f>
        <v/>
      </c>
      <c r="H107" s="112">
        <f>IF($A107="","",$E107+$F107-$G107)</f>
        <v/>
      </c>
      <c r="I107" s="112" t="n"/>
      <c r="J107" s="71">
        <f>IF($A107="","",IF($H107&lt;=$I107,"COMPRAR","OK"))</f>
        <v/>
      </c>
      <c r="K107" s="113" t="n"/>
      <c r="L107" s="71" t="n"/>
      <c r="M107" s="103">
        <f>IF($J107="COMPRAR",COUNTIF($J$2:J107,"COMPRAR"),"")</f>
        <v/>
      </c>
      <c r="N107" s="103">
        <f>IF($M107="","",$A107)</f>
        <v/>
      </c>
    </row>
    <row r="108">
      <c r="A108" s="71" t="n"/>
      <c r="B108" s="71" t="n"/>
      <c r="C108" s="71" t="n"/>
      <c r="D108" s="71" t="n"/>
      <c r="E108" s="112" t="n"/>
      <c r="F108" s="112">
        <f>IF($A108="","",SUMIF(Movimentos!$J$2:$J$121,$A108&amp;"|Compra",Movimentos!$E$2:$E$121)+SUMIF(Movimentos!$J$2:$J$121,$A108&amp;"|Ajuste +",Movimentos!$E$2:$E$121))</f>
        <v/>
      </c>
      <c r="G108" s="112">
        <f>IF($A108="","",SUMIF(Movimentos!$J$2:$J$121,$A108&amp;"|Retirada",Movimentos!$E$2:$E$121)+SUMIF(Movimentos!$J$2:$J$121,$A108&amp;"|Ajuste -",Movimentos!$E$2:$E$121))</f>
        <v/>
      </c>
      <c r="H108" s="112">
        <f>IF($A108="","",$E108+$F108-$G108)</f>
        <v/>
      </c>
      <c r="I108" s="112" t="n"/>
      <c r="J108" s="71">
        <f>IF($A108="","",IF($H108&lt;=$I108,"COMPRAR","OK"))</f>
        <v/>
      </c>
      <c r="K108" s="113" t="n"/>
      <c r="L108" s="71" t="n"/>
      <c r="M108" s="103">
        <f>IF($J108="COMPRAR",COUNTIF($J$2:J108,"COMPRAR"),"")</f>
        <v/>
      </c>
      <c r="N108" s="103">
        <f>IF($M108="","",$A108)</f>
        <v/>
      </c>
    </row>
    <row r="109">
      <c r="A109" s="71" t="n"/>
      <c r="B109" s="71" t="n"/>
      <c r="C109" s="71" t="n"/>
      <c r="D109" s="71" t="n"/>
      <c r="E109" s="112" t="n"/>
      <c r="F109" s="112">
        <f>IF($A109="","",SUMIF(Movimentos!$J$2:$J$121,$A109&amp;"|Compra",Movimentos!$E$2:$E$121)+SUMIF(Movimentos!$J$2:$J$121,$A109&amp;"|Ajuste +",Movimentos!$E$2:$E$121))</f>
        <v/>
      </c>
      <c r="G109" s="112">
        <f>IF($A109="","",SUMIF(Movimentos!$J$2:$J$121,$A109&amp;"|Retirada",Movimentos!$E$2:$E$121)+SUMIF(Movimentos!$J$2:$J$121,$A109&amp;"|Ajuste -",Movimentos!$E$2:$E$121))</f>
        <v/>
      </c>
      <c r="H109" s="112">
        <f>IF($A109="","",$E109+$F109-$G109)</f>
        <v/>
      </c>
      <c r="I109" s="112" t="n"/>
      <c r="J109" s="71">
        <f>IF($A109="","",IF($H109&lt;=$I109,"COMPRAR","OK"))</f>
        <v/>
      </c>
      <c r="K109" s="113" t="n"/>
      <c r="L109" s="71" t="n"/>
      <c r="M109" s="103">
        <f>IF($J109="COMPRAR",COUNTIF($J$2:J109,"COMPRAR"),"")</f>
        <v/>
      </c>
      <c r="N109" s="103">
        <f>IF($M109="","",$A109)</f>
        <v/>
      </c>
    </row>
    <row r="110">
      <c r="A110" s="71" t="n"/>
      <c r="B110" s="71" t="n"/>
      <c r="C110" s="71" t="n"/>
      <c r="D110" s="71" t="n"/>
      <c r="E110" s="112" t="n"/>
      <c r="F110" s="112">
        <f>IF($A110="","",SUMIF(Movimentos!$J$2:$J$121,$A110&amp;"|Compra",Movimentos!$E$2:$E$121)+SUMIF(Movimentos!$J$2:$J$121,$A110&amp;"|Ajuste +",Movimentos!$E$2:$E$121))</f>
        <v/>
      </c>
      <c r="G110" s="112">
        <f>IF($A110="","",SUMIF(Movimentos!$J$2:$J$121,$A110&amp;"|Retirada",Movimentos!$E$2:$E$121)+SUMIF(Movimentos!$J$2:$J$121,$A110&amp;"|Ajuste -",Movimentos!$E$2:$E$121))</f>
        <v/>
      </c>
      <c r="H110" s="112">
        <f>IF($A110="","",$E110+$F110-$G110)</f>
        <v/>
      </c>
      <c r="I110" s="112" t="n"/>
      <c r="J110" s="71">
        <f>IF($A110="","",IF($H110&lt;=$I110,"COMPRAR","OK"))</f>
        <v/>
      </c>
      <c r="K110" s="113" t="n"/>
      <c r="L110" s="71" t="n"/>
      <c r="M110" s="103">
        <f>IF($J110="COMPRAR",COUNTIF($J$2:J110,"COMPRAR"),"")</f>
        <v/>
      </c>
      <c r="N110" s="103">
        <f>IF($M110="","",$A110)</f>
        <v/>
      </c>
    </row>
    <row r="111">
      <c r="A111" s="71" t="n"/>
      <c r="B111" s="71" t="n"/>
      <c r="C111" s="71" t="n"/>
      <c r="D111" s="71" t="n"/>
      <c r="E111" s="112" t="n"/>
      <c r="F111" s="112">
        <f>IF($A111="","",SUMIF(Movimentos!$J$2:$J$121,$A111&amp;"|Compra",Movimentos!$E$2:$E$121)+SUMIF(Movimentos!$J$2:$J$121,$A111&amp;"|Ajuste +",Movimentos!$E$2:$E$121))</f>
        <v/>
      </c>
      <c r="G111" s="112">
        <f>IF($A111="","",SUMIF(Movimentos!$J$2:$J$121,$A111&amp;"|Retirada",Movimentos!$E$2:$E$121)+SUMIF(Movimentos!$J$2:$J$121,$A111&amp;"|Ajuste -",Movimentos!$E$2:$E$121))</f>
        <v/>
      </c>
      <c r="H111" s="112">
        <f>IF($A111="","",$E111+$F111-$G111)</f>
        <v/>
      </c>
      <c r="I111" s="112" t="n"/>
      <c r="J111" s="71">
        <f>IF($A111="","",IF($H111&lt;=$I111,"COMPRAR","OK"))</f>
        <v/>
      </c>
      <c r="K111" s="113" t="n"/>
      <c r="L111" s="71" t="n"/>
      <c r="M111" s="103">
        <f>IF($J111="COMPRAR",COUNTIF($J$2:J111,"COMPRAR"),"")</f>
        <v/>
      </c>
      <c r="N111" s="103">
        <f>IF($M111="","",$A111)</f>
        <v/>
      </c>
    </row>
    <row r="112">
      <c r="A112" s="71" t="n"/>
      <c r="B112" s="71" t="n"/>
      <c r="C112" s="71" t="n"/>
      <c r="D112" s="71" t="n"/>
      <c r="E112" s="112" t="n"/>
      <c r="F112" s="112">
        <f>IF($A112="","",SUMIF(Movimentos!$J$2:$J$121,$A112&amp;"|Compra",Movimentos!$E$2:$E$121)+SUMIF(Movimentos!$J$2:$J$121,$A112&amp;"|Ajuste +",Movimentos!$E$2:$E$121))</f>
        <v/>
      </c>
      <c r="G112" s="112">
        <f>IF($A112="","",SUMIF(Movimentos!$J$2:$J$121,$A112&amp;"|Retirada",Movimentos!$E$2:$E$121)+SUMIF(Movimentos!$J$2:$J$121,$A112&amp;"|Ajuste -",Movimentos!$E$2:$E$121))</f>
        <v/>
      </c>
      <c r="H112" s="112">
        <f>IF($A112="","",$E112+$F112-$G112)</f>
        <v/>
      </c>
      <c r="I112" s="112" t="n"/>
      <c r="J112" s="71">
        <f>IF($A112="","",IF($H112&lt;=$I112,"COMPRAR","OK"))</f>
        <v/>
      </c>
      <c r="K112" s="113" t="n"/>
      <c r="L112" s="71" t="n"/>
      <c r="M112" s="103">
        <f>IF($J112="COMPRAR",COUNTIF($J$2:J112,"COMPRAR"),"")</f>
        <v/>
      </c>
      <c r="N112" s="103">
        <f>IF($M112="","",$A112)</f>
        <v/>
      </c>
    </row>
    <row r="113">
      <c r="A113" s="71" t="n"/>
      <c r="B113" s="71" t="n"/>
      <c r="C113" s="71" t="n"/>
      <c r="D113" s="71" t="n"/>
      <c r="E113" s="112" t="n"/>
      <c r="F113" s="112">
        <f>IF($A113="","",SUMIF(Movimentos!$J$2:$J$121,$A113&amp;"|Compra",Movimentos!$E$2:$E$121)+SUMIF(Movimentos!$J$2:$J$121,$A113&amp;"|Ajuste +",Movimentos!$E$2:$E$121))</f>
        <v/>
      </c>
      <c r="G113" s="112">
        <f>IF($A113="","",SUMIF(Movimentos!$J$2:$J$121,$A113&amp;"|Retirada",Movimentos!$E$2:$E$121)+SUMIF(Movimentos!$J$2:$J$121,$A113&amp;"|Ajuste -",Movimentos!$E$2:$E$121))</f>
        <v/>
      </c>
      <c r="H113" s="112">
        <f>IF($A113="","",$E113+$F113-$G113)</f>
        <v/>
      </c>
      <c r="I113" s="112" t="n"/>
      <c r="J113" s="71">
        <f>IF($A113="","",IF($H113&lt;=$I113,"COMPRAR","OK"))</f>
        <v/>
      </c>
      <c r="K113" s="113" t="n"/>
      <c r="L113" s="71" t="n"/>
      <c r="M113" s="103">
        <f>IF($J113="COMPRAR",COUNTIF($J$2:J113,"COMPRAR"),"")</f>
        <v/>
      </c>
      <c r="N113" s="103">
        <f>IF($M113="","",$A113)</f>
        <v/>
      </c>
    </row>
    <row r="114">
      <c r="A114" s="71" t="n"/>
      <c r="B114" s="71" t="n"/>
      <c r="C114" s="71" t="n"/>
      <c r="D114" s="71" t="n"/>
      <c r="E114" s="112" t="n"/>
      <c r="F114" s="112">
        <f>IF($A114="","",SUMIF(Movimentos!$J$2:$J$121,$A114&amp;"|Compra",Movimentos!$E$2:$E$121)+SUMIF(Movimentos!$J$2:$J$121,$A114&amp;"|Ajuste +",Movimentos!$E$2:$E$121))</f>
        <v/>
      </c>
      <c r="G114" s="112">
        <f>IF($A114="","",SUMIF(Movimentos!$J$2:$J$121,$A114&amp;"|Retirada",Movimentos!$E$2:$E$121)+SUMIF(Movimentos!$J$2:$J$121,$A114&amp;"|Ajuste -",Movimentos!$E$2:$E$121))</f>
        <v/>
      </c>
      <c r="H114" s="112">
        <f>IF($A114="","",$E114+$F114-$G114)</f>
        <v/>
      </c>
      <c r="I114" s="112" t="n"/>
      <c r="J114" s="71">
        <f>IF($A114="","",IF($H114&lt;=$I114,"COMPRAR","OK"))</f>
        <v/>
      </c>
      <c r="K114" s="113" t="n"/>
      <c r="L114" s="71" t="n"/>
      <c r="M114" s="103">
        <f>IF($J114="COMPRAR",COUNTIF($J$2:J114,"COMPRAR"),"")</f>
        <v/>
      </c>
      <c r="N114" s="103">
        <f>IF($M114="","",$A114)</f>
        <v/>
      </c>
    </row>
    <row r="115">
      <c r="A115" s="71" t="n"/>
      <c r="B115" s="71" t="n"/>
      <c r="C115" s="71" t="n"/>
      <c r="D115" s="71" t="n"/>
      <c r="E115" s="112" t="n"/>
      <c r="F115" s="112">
        <f>IF($A115="","",SUMIF(Movimentos!$J$2:$J$121,$A115&amp;"|Compra",Movimentos!$E$2:$E$121)+SUMIF(Movimentos!$J$2:$J$121,$A115&amp;"|Ajuste +",Movimentos!$E$2:$E$121))</f>
        <v/>
      </c>
      <c r="G115" s="112">
        <f>IF($A115="","",SUMIF(Movimentos!$J$2:$J$121,$A115&amp;"|Retirada",Movimentos!$E$2:$E$121)+SUMIF(Movimentos!$J$2:$J$121,$A115&amp;"|Ajuste -",Movimentos!$E$2:$E$121))</f>
        <v/>
      </c>
      <c r="H115" s="112">
        <f>IF($A115="","",$E115+$F115-$G115)</f>
        <v/>
      </c>
      <c r="I115" s="112" t="n"/>
      <c r="J115" s="71">
        <f>IF($A115="","",IF($H115&lt;=$I115,"COMPRAR","OK"))</f>
        <v/>
      </c>
      <c r="K115" s="113" t="n"/>
      <c r="L115" s="71" t="n"/>
      <c r="M115" s="103">
        <f>IF($J115="COMPRAR",COUNTIF($J$2:J115,"COMPRAR"),"")</f>
        <v/>
      </c>
      <c r="N115" s="103">
        <f>IF($M115="","",$A115)</f>
        <v/>
      </c>
    </row>
    <row r="116">
      <c r="A116" s="71" t="n"/>
      <c r="B116" s="71" t="n"/>
      <c r="C116" s="71" t="n"/>
      <c r="D116" s="71" t="n"/>
      <c r="E116" s="112" t="n"/>
      <c r="F116" s="112">
        <f>IF($A116="","",SUMIF(Movimentos!$J$2:$J$121,$A116&amp;"|Compra",Movimentos!$E$2:$E$121)+SUMIF(Movimentos!$J$2:$J$121,$A116&amp;"|Ajuste +",Movimentos!$E$2:$E$121))</f>
        <v/>
      </c>
      <c r="G116" s="112">
        <f>IF($A116="","",SUMIF(Movimentos!$J$2:$J$121,$A116&amp;"|Retirada",Movimentos!$E$2:$E$121)+SUMIF(Movimentos!$J$2:$J$121,$A116&amp;"|Ajuste -",Movimentos!$E$2:$E$121))</f>
        <v/>
      </c>
      <c r="H116" s="112">
        <f>IF($A116="","",$E116+$F116-$G116)</f>
        <v/>
      </c>
      <c r="I116" s="112" t="n"/>
      <c r="J116" s="71">
        <f>IF($A116="","",IF($H116&lt;=$I116,"COMPRAR","OK"))</f>
        <v/>
      </c>
      <c r="K116" s="113" t="n"/>
      <c r="L116" s="71" t="n"/>
      <c r="M116" s="103">
        <f>IF($J116="COMPRAR",COUNTIF($J$2:J116,"COMPRAR"),"")</f>
        <v/>
      </c>
      <c r="N116" s="103">
        <f>IF($M116="","",$A116)</f>
        <v/>
      </c>
    </row>
    <row r="117">
      <c r="A117" s="71" t="n"/>
      <c r="B117" s="71" t="n"/>
      <c r="C117" s="71" t="n"/>
      <c r="D117" s="71" t="n"/>
      <c r="E117" s="112" t="n"/>
      <c r="F117" s="112">
        <f>IF($A117="","",SUMIF(Movimentos!$J$2:$J$121,$A117&amp;"|Compra",Movimentos!$E$2:$E$121)+SUMIF(Movimentos!$J$2:$J$121,$A117&amp;"|Ajuste +",Movimentos!$E$2:$E$121))</f>
        <v/>
      </c>
      <c r="G117" s="112">
        <f>IF($A117="","",SUMIF(Movimentos!$J$2:$J$121,$A117&amp;"|Retirada",Movimentos!$E$2:$E$121)+SUMIF(Movimentos!$J$2:$J$121,$A117&amp;"|Ajuste -",Movimentos!$E$2:$E$121))</f>
        <v/>
      </c>
      <c r="H117" s="112">
        <f>IF($A117="","",$E117+$F117-$G117)</f>
        <v/>
      </c>
      <c r="I117" s="112" t="n"/>
      <c r="J117" s="71">
        <f>IF($A117="","",IF($H117&lt;=$I117,"COMPRAR","OK"))</f>
        <v/>
      </c>
      <c r="K117" s="113" t="n"/>
      <c r="L117" s="71" t="n"/>
      <c r="M117" s="103">
        <f>IF($J117="COMPRAR",COUNTIF($J$2:J117,"COMPRAR"),"")</f>
        <v/>
      </c>
      <c r="N117" s="103">
        <f>IF($M117="","",$A117)</f>
        <v/>
      </c>
    </row>
    <row r="118">
      <c r="A118" s="71" t="n"/>
      <c r="B118" s="71" t="n"/>
      <c r="C118" s="71" t="n"/>
      <c r="D118" s="71" t="n"/>
      <c r="E118" s="112" t="n"/>
      <c r="F118" s="112">
        <f>IF($A118="","",SUMIF(Movimentos!$J$2:$J$121,$A118&amp;"|Compra",Movimentos!$E$2:$E$121)+SUMIF(Movimentos!$J$2:$J$121,$A118&amp;"|Ajuste +",Movimentos!$E$2:$E$121))</f>
        <v/>
      </c>
      <c r="G118" s="112">
        <f>IF($A118="","",SUMIF(Movimentos!$J$2:$J$121,$A118&amp;"|Retirada",Movimentos!$E$2:$E$121)+SUMIF(Movimentos!$J$2:$J$121,$A118&amp;"|Ajuste -",Movimentos!$E$2:$E$121))</f>
        <v/>
      </c>
      <c r="H118" s="112">
        <f>IF($A118="","",$E118+$F118-$G118)</f>
        <v/>
      </c>
      <c r="I118" s="112" t="n"/>
      <c r="J118" s="71">
        <f>IF($A118="","",IF($H118&lt;=$I118,"COMPRAR","OK"))</f>
        <v/>
      </c>
      <c r="K118" s="113" t="n"/>
      <c r="L118" s="71" t="n"/>
      <c r="M118" s="103">
        <f>IF($J118="COMPRAR",COUNTIF($J$2:J118,"COMPRAR"),"")</f>
        <v/>
      </c>
      <c r="N118" s="103">
        <f>IF($M118="","",$A118)</f>
        <v/>
      </c>
    </row>
    <row r="119">
      <c r="A119" s="71" t="n"/>
      <c r="B119" s="71" t="n"/>
      <c r="C119" s="71" t="n"/>
      <c r="D119" s="71" t="n"/>
      <c r="E119" s="112" t="n"/>
      <c r="F119" s="112">
        <f>IF($A119="","",SUMIF(Movimentos!$J$2:$J$121,$A119&amp;"|Compra",Movimentos!$E$2:$E$121)+SUMIF(Movimentos!$J$2:$J$121,$A119&amp;"|Ajuste +",Movimentos!$E$2:$E$121))</f>
        <v/>
      </c>
      <c r="G119" s="112">
        <f>IF($A119="","",SUMIF(Movimentos!$J$2:$J$121,$A119&amp;"|Retirada",Movimentos!$E$2:$E$121)+SUMIF(Movimentos!$J$2:$J$121,$A119&amp;"|Ajuste -",Movimentos!$E$2:$E$121))</f>
        <v/>
      </c>
      <c r="H119" s="112">
        <f>IF($A119="","",$E119+$F119-$G119)</f>
        <v/>
      </c>
      <c r="I119" s="112" t="n"/>
      <c r="J119" s="71">
        <f>IF($A119="","",IF($H119&lt;=$I119,"COMPRAR","OK"))</f>
        <v/>
      </c>
      <c r="K119" s="113" t="n"/>
      <c r="L119" s="71" t="n"/>
      <c r="M119" s="103">
        <f>IF($J119="COMPRAR",COUNTIF($J$2:J119,"COMPRAR"),"")</f>
        <v/>
      </c>
      <c r="N119" s="103">
        <f>IF($M119="","",$A119)</f>
        <v/>
      </c>
    </row>
    <row r="120">
      <c r="A120" s="71" t="n"/>
      <c r="B120" s="71" t="n"/>
      <c r="C120" s="71" t="n"/>
      <c r="D120" s="71" t="n"/>
      <c r="E120" s="112" t="n"/>
      <c r="F120" s="112">
        <f>IF($A120="","",SUMIF(Movimentos!$J$2:$J$121,$A120&amp;"|Compra",Movimentos!$E$2:$E$121)+SUMIF(Movimentos!$J$2:$J$121,$A120&amp;"|Ajuste +",Movimentos!$E$2:$E$121))</f>
        <v/>
      </c>
      <c r="G120" s="112">
        <f>IF($A120="","",SUMIF(Movimentos!$J$2:$J$121,$A120&amp;"|Retirada",Movimentos!$E$2:$E$121)+SUMIF(Movimentos!$J$2:$J$121,$A120&amp;"|Ajuste -",Movimentos!$E$2:$E$121))</f>
        <v/>
      </c>
      <c r="H120" s="112">
        <f>IF($A120="","",$E120+$F120-$G120)</f>
        <v/>
      </c>
      <c r="I120" s="112" t="n"/>
      <c r="J120" s="71">
        <f>IF($A120="","",IF($H120&lt;=$I120,"COMPRAR","OK"))</f>
        <v/>
      </c>
      <c r="K120" s="113" t="n"/>
      <c r="L120" s="71" t="n"/>
      <c r="M120" s="103">
        <f>IF($J120="COMPRAR",COUNTIF($J$2:J120,"COMPRAR"),"")</f>
        <v/>
      </c>
      <c r="N120" s="103">
        <f>IF($M120="","",$A120)</f>
        <v/>
      </c>
    </row>
    <row r="121">
      <c r="A121" s="71" t="n"/>
      <c r="B121" s="71" t="n"/>
      <c r="C121" s="71" t="n"/>
      <c r="D121" s="71" t="n"/>
      <c r="E121" s="112" t="n"/>
      <c r="F121" s="112">
        <f>IF($A121="","",SUMIF(Movimentos!$J$2:$J$121,$A121&amp;"|Compra",Movimentos!$E$2:$E$121)+SUMIF(Movimentos!$J$2:$J$121,$A121&amp;"|Ajuste +",Movimentos!$E$2:$E$121))</f>
        <v/>
      </c>
      <c r="G121" s="112">
        <f>IF($A121="","",SUMIF(Movimentos!$J$2:$J$121,$A121&amp;"|Retirada",Movimentos!$E$2:$E$121)+SUMIF(Movimentos!$J$2:$J$121,$A121&amp;"|Ajuste -",Movimentos!$E$2:$E$121))</f>
        <v/>
      </c>
      <c r="H121" s="112">
        <f>IF($A121="","",$E121+$F121-$G121)</f>
        <v/>
      </c>
      <c r="I121" s="112" t="n"/>
      <c r="J121" s="71">
        <f>IF($A121="","",IF($H121&lt;=$I121,"COMPRAR","OK"))</f>
        <v/>
      </c>
      <c r="K121" s="113" t="n"/>
      <c r="L121" s="71" t="n"/>
      <c r="M121" s="103">
        <f>IF($J121="COMPRAR",COUNTIF($J$2:J121,"COMPRAR"),"")</f>
        <v/>
      </c>
      <c r="N121" s="103">
        <f>IF($M121="","",$A121)</f>
        <v/>
      </c>
    </row>
    <row r="122">
      <c r="A122" s="70" t="n"/>
      <c r="B122" s="70" t="n"/>
      <c r="C122" s="70" t="n"/>
      <c r="D122" s="70" t="n"/>
      <c r="E122" s="70" t="n"/>
      <c r="F122" s="70" t="n"/>
      <c r="G122" s="70" t="n"/>
      <c r="H122" s="70" t="n"/>
      <c r="I122" s="70" t="n"/>
      <c r="J122" s="70" t="n"/>
      <c r="K122" s="70" t="n"/>
      <c r="L122" s="70" t="n"/>
    </row>
    <row r="123">
      <c r="A123" s="70" t="n"/>
      <c r="B123" s="70" t="n"/>
      <c r="C123" s="70" t="n"/>
      <c r="D123" s="70" t="n"/>
      <c r="E123" s="70" t="n"/>
      <c r="F123" s="70" t="n"/>
      <c r="G123" s="70" t="n"/>
      <c r="H123" s="70" t="n"/>
      <c r="I123" s="70" t="n"/>
      <c r="J123" s="70" t="n"/>
      <c r="K123" s="70" t="n"/>
      <c r="L123" s="70" t="n"/>
    </row>
    <row r="124">
      <c r="A124" s="70" t="n"/>
      <c r="B124" s="70" t="n"/>
      <c r="C124" s="70" t="n"/>
      <c r="D124" s="70" t="n"/>
      <c r="E124" s="70" t="n"/>
      <c r="F124" s="70" t="n"/>
      <c r="G124" s="70" t="n"/>
      <c r="H124" s="70" t="n"/>
      <c r="I124" s="70" t="n"/>
      <c r="J124" s="70" t="n"/>
      <c r="K124" s="70" t="n"/>
      <c r="L124" s="70" t="n"/>
    </row>
    <row r="125">
      <c r="A125" s="70" t="n"/>
      <c r="B125" s="70" t="n"/>
      <c r="C125" s="70" t="n"/>
      <c r="D125" s="70" t="n"/>
      <c r="E125" s="70" t="n"/>
      <c r="F125" s="70" t="n"/>
      <c r="G125" s="70" t="n"/>
      <c r="H125" s="70" t="n"/>
      <c r="I125" s="70" t="n"/>
      <c r="J125" s="70" t="n"/>
      <c r="K125" s="70" t="n"/>
      <c r="L125" s="70" t="n"/>
    </row>
    <row r="126">
      <c r="A126" s="70" t="n"/>
      <c r="B126" s="70" t="n"/>
      <c r="C126" s="70" t="n"/>
      <c r="D126" s="70" t="n"/>
      <c r="E126" s="70" t="n"/>
      <c r="F126" s="70" t="n"/>
      <c r="G126" s="70" t="n"/>
      <c r="H126" s="70" t="n"/>
      <c r="I126" s="70" t="n"/>
      <c r="J126" s="70" t="n"/>
      <c r="K126" s="70" t="n"/>
      <c r="L126" s="70" t="n"/>
    </row>
    <row r="127">
      <c r="A127" s="70" t="n"/>
      <c r="B127" s="70" t="n"/>
      <c r="C127" s="70" t="n"/>
      <c r="D127" s="70" t="n"/>
      <c r="E127" s="70" t="n"/>
      <c r="F127" s="70" t="n"/>
      <c r="G127" s="70" t="n"/>
      <c r="H127" s="70" t="n"/>
      <c r="I127" s="70" t="n"/>
      <c r="J127" s="70" t="n"/>
      <c r="K127" s="70" t="n"/>
      <c r="L127" s="70" t="n"/>
    </row>
    <row r="128">
      <c r="A128" s="70" t="n"/>
      <c r="B128" s="70" t="n"/>
      <c r="C128" s="70" t="n"/>
      <c r="D128" s="70" t="n"/>
      <c r="E128" s="70" t="n"/>
      <c r="F128" s="70" t="n"/>
      <c r="G128" s="70" t="n"/>
      <c r="H128" s="70" t="n"/>
      <c r="I128" s="70" t="n"/>
      <c r="J128" s="70" t="n"/>
      <c r="K128" s="70" t="n"/>
      <c r="L128" s="70" t="n"/>
    </row>
    <row r="129">
      <c r="A129" s="70" t="n"/>
      <c r="B129" s="70" t="n"/>
      <c r="C129" s="70" t="n"/>
      <c r="D129" s="70" t="n"/>
      <c r="E129" s="70" t="n"/>
      <c r="F129" s="70" t="n"/>
      <c r="G129" s="70" t="n"/>
      <c r="H129" s="70" t="n"/>
      <c r="I129" s="70" t="n"/>
      <c r="J129" s="70" t="n"/>
      <c r="K129" s="70" t="n"/>
      <c r="L129" s="70" t="n"/>
    </row>
    <row r="130">
      <c r="A130" s="70" t="n"/>
      <c r="B130" s="70" t="n"/>
      <c r="C130" s="70" t="n"/>
      <c r="D130" s="70" t="n"/>
      <c r="E130" s="70" t="n"/>
      <c r="F130" s="70" t="n"/>
      <c r="G130" s="70" t="n"/>
      <c r="H130" s="70" t="n"/>
      <c r="I130" s="70" t="n"/>
      <c r="J130" s="70" t="n"/>
      <c r="K130" s="70" t="n"/>
      <c r="L130" s="70" t="n"/>
    </row>
    <row r="131">
      <c r="A131" s="70" t="n"/>
      <c r="B131" s="70" t="n"/>
      <c r="C131" s="70" t="n"/>
      <c r="D131" s="70" t="n"/>
      <c r="E131" s="70" t="n"/>
      <c r="F131" s="70" t="n"/>
      <c r="G131" s="70" t="n"/>
      <c r="H131" s="70" t="n"/>
      <c r="I131" s="70" t="n"/>
      <c r="J131" s="70" t="n"/>
      <c r="K131" s="70" t="n"/>
      <c r="L131" s="70" t="n"/>
    </row>
    <row r="132">
      <c r="A132" s="70" t="n"/>
      <c r="B132" s="70" t="n"/>
      <c r="C132" s="70" t="n"/>
      <c r="D132" s="70" t="n"/>
      <c r="E132" s="70" t="n"/>
      <c r="F132" s="70" t="n"/>
      <c r="G132" s="70" t="n"/>
      <c r="H132" s="70" t="n"/>
      <c r="I132" s="70" t="n"/>
      <c r="J132" s="70" t="n"/>
      <c r="K132" s="70" t="n"/>
      <c r="L132" s="70" t="n"/>
    </row>
    <row r="133">
      <c r="A133" s="70" t="n"/>
      <c r="B133" s="70" t="n"/>
      <c r="C133" s="70" t="n"/>
      <c r="D133" s="70" t="n"/>
      <c r="E133" s="70" t="n"/>
      <c r="F133" s="70" t="n"/>
      <c r="G133" s="70" t="n"/>
      <c r="H133" s="70" t="n"/>
      <c r="I133" s="70" t="n"/>
      <c r="J133" s="70" t="n"/>
      <c r="K133" s="70" t="n"/>
      <c r="L133" s="70" t="n"/>
    </row>
    <row r="134">
      <c r="A134" s="70" t="n"/>
      <c r="B134" s="70" t="n"/>
      <c r="C134" s="70" t="n"/>
      <c r="D134" s="70" t="n"/>
      <c r="E134" s="70" t="n"/>
      <c r="F134" s="70" t="n"/>
      <c r="G134" s="70" t="n"/>
      <c r="H134" s="70" t="n"/>
      <c r="I134" s="70" t="n"/>
      <c r="J134" s="70" t="n"/>
      <c r="K134" s="70" t="n"/>
      <c r="L134" s="70" t="n"/>
    </row>
    <row r="135">
      <c r="A135" s="70" t="n"/>
      <c r="B135" s="70" t="n"/>
      <c r="C135" s="70" t="n"/>
      <c r="D135" s="70" t="n"/>
      <c r="E135" s="70" t="n"/>
      <c r="F135" s="70" t="n"/>
      <c r="G135" s="70" t="n"/>
      <c r="H135" s="70" t="n"/>
      <c r="I135" s="70" t="n"/>
      <c r="J135" s="70" t="n"/>
      <c r="K135" s="70" t="n"/>
      <c r="L135" s="70" t="n"/>
    </row>
    <row r="136">
      <c r="A136" s="70" t="n"/>
      <c r="B136" s="70" t="n"/>
      <c r="C136" s="70" t="n"/>
      <c r="D136" s="70" t="n"/>
      <c r="E136" s="70" t="n"/>
      <c r="F136" s="70" t="n"/>
      <c r="G136" s="70" t="n"/>
      <c r="H136" s="70" t="n"/>
      <c r="I136" s="70" t="n"/>
      <c r="J136" s="70" t="n"/>
      <c r="K136" s="70" t="n"/>
      <c r="L136" s="70" t="n"/>
    </row>
    <row r="137">
      <c r="A137" s="70" t="n"/>
      <c r="B137" s="70" t="n"/>
      <c r="C137" s="70" t="n"/>
      <c r="D137" s="70" t="n"/>
      <c r="E137" s="70" t="n"/>
      <c r="F137" s="70" t="n"/>
      <c r="G137" s="70" t="n"/>
      <c r="H137" s="70" t="n"/>
      <c r="I137" s="70" t="n"/>
      <c r="J137" s="70" t="n"/>
      <c r="K137" s="70" t="n"/>
      <c r="L137" s="70" t="n"/>
    </row>
    <row r="138">
      <c r="A138" s="70" t="n"/>
      <c r="B138" s="70" t="n"/>
      <c r="C138" s="70" t="n"/>
      <c r="D138" s="70" t="n"/>
      <c r="E138" s="70" t="n"/>
      <c r="F138" s="70" t="n"/>
      <c r="G138" s="70" t="n"/>
      <c r="H138" s="70" t="n"/>
      <c r="I138" s="70" t="n"/>
      <c r="J138" s="70" t="n"/>
      <c r="K138" s="70" t="n"/>
      <c r="L138" s="70" t="n"/>
    </row>
    <row r="139">
      <c r="A139" s="70" t="n"/>
      <c r="B139" s="70" t="n"/>
      <c r="C139" s="70" t="n"/>
      <c r="D139" s="70" t="n"/>
      <c r="E139" s="70" t="n"/>
      <c r="F139" s="70" t="n"/>
      <c r="G139" s="70" t="n"/>
      <c r="H139" s="70" t="n"/>
      <c r="I139" s="70" t="n"/>
      <c r="J139" s="70" t="n"/>
      <c r="K139" s="70" t="n"/>
      <c r="L139" s="70" t="n"/>
    </row>
    <row r="140">
      <c r="A140" s="70" t="n"/>
      <c r="B140" s="70" t="n"/>
      <c r="C140" s="70" t="n"/>
      <c r="D140" s="70" t="n"/>
      <c r="E140" s="70" t="n"/>
      <c r="F140" s="70" t="n"/>
      <c r="G140" s="70" t="n"/>
      <c r="H140" s="70" t="n"/>
      <c r="I140" s="70" t="n"/>
      <c r="J140" s="70" t="n"/>
      <c r="K140" s="70" t="n"/>
      <c r="L140" s="70" t="n"/>
    </row>
    <row r="141">
      <c r="A141" s="70" t="n"/>
      <c r="B141" s="70" t="n"/>
      <c r="C141" s="70" t="n"/>
      <c r="D141" s="70" t="n"/>
      <c r="E141" s="70" t="n"/>
      <c r="F141" s="70" t="n"/>
      <c r="G141" s="70" t="n"/>
      <c r="H141" s="70" t="n"/>
      <c r="I141" s="70" t="n"/>
      <c r="J141" s="70" t="n"/>
      <c r="K141" s="70" t="n"/>
      <c r="L141" s="70" t="n"/>
    </row>
    <row r="142">
      <c r="A142" s="70" t="n"/>
      <c r="B142" s="70" t="n"/>
      <c r="C142" s="70" t="n"/>
      <c r="D142" s="70" t="n"/>
      <c r="E142" s="70" t="n"/>
      <c r="F142" s="70" t="n"/>
      <c r="G142" s="70" t="n"/>
      <c r="H142" s="70" t="n"/>
      <c r="I142" s="70" t="n"/>
      <c r="J142" s="70" t="n"/>
      <c r="K142" s="70" t="n"/>
      <c r="L142" s="70" t="n"/>
    </row>
    <row r="143">
      <c r="A143" s="70" t="n"/>
      <c r="B143" s="70" t="n"/>
      <c r="C143" s="70" t="n"/>
      <c r="D143" s="70" t="n"/>
      <c r="E143" s="70" t="n"/>
      <c r="F143" s="70" t="n"/>
      <c r="G143" s="70" t="n"/>
      <c r="H143" s="70" t="n"/>
      <c r="I143" s="70" t="n"/>
      <c r="J143" s="70" t="n"/>
      <c r="K143" s="70" t="n"/>
      <c r="L143" s="70" t="n"/>
    </row>
    <row r="144">
      <c r="A144" s="70" t="n"/>
      <c r="B144" s="70" t="n"/>
      <c r="C144" s="70" t="n"/>
      <c r="D144" s="70" t="n"/>
      <c r="E144" s="70" t="n"/>
      <c r="F144" s="70" t="n"/>
      <c r="G144" s="70" t="n"/>
      <c r="H144" s="70" t="n"/>
      <c r="I144" s="70" t="n"/>
      <c r="J144" s="70" t="n"/>
      <c r="K144" s="70" t="n"/>
      <c r="L144" s="70" t="n"/>
    </row>
    <row r="145">
      <c r="A145" s="70" t="n"/>
      <c r="B145" s="70" t="n"/>
      <c r="C145" s="70" t="n"/>
      <c r="D145" s="70" t="n"/>
      <c r="E145" s="70" t="n"/>
      <c r="F145" s="70" t="n"/>
      <c r="G145" s="70" t="n"/>
      <c r="H145" s="70" t="n"/>
      <c r="I145" s="70" t="n"/>
      <c r="J145" s="70" t="n"/>
      <c r="K145" s="70" t="n"/>
      <c r="L145" s="70" t="n"/>
    </row>
    <row r="146">
      <c r="A146" s="70" t="n"/>
      <c r="B146" s="70" t="n"/>
      <c r="C146" s="70" t="n"/>
      <c r="D146" s="70" t="n"/>
      <c r="E146" s="70" t="n"/>
      <c r="F146" s="70" t="n"/>
      <c r="G146" s="70" t="n"/>
      <c r="H146" s="70" t="n"/>
      <c r="I146" s="70" t="n"/>
      <c r="J146" s="70" t="n"/>
      <c r="K146" s="70" t="n"/>
      <c r="L146" s="70" t="n"/>
    </row>
    <row r="147">
      <c r="A147" s="70" t="n"/>
      <c r="B147" s="70" t="n"/>
      <c r="C147" s="70" t="n"/>
      <c r="D147" s="70" t="n"/>
      <c r="E147" s="70" t="n"/>
      <c r="F147" s="70" t="n"/>
      <c r="G147" s="70" t="n"/>
      <c r="H147" s="70" t="n"/>
      <c r="I147" s="70" t="n"/>
      <c r="J147" s="70" t="n"/>
      <c r="K147" s="70" t="n"/>
      <c r="L147" s="70" t="n"/>
    </row>
    <row r="148">
      <c r="A148" s="70" t="n"/>
      <c r="B148" s="70" t="n"/>
      <c r="C148" s="70" t="n"/>
      <c r="D148" s="70" t="n"/>
      <c r="E148" s="70" t="n"/>
      <c r="F148" s="70" t="n"/>
      <c r="G148" s="70" t="n"/>
      <c r="H148" s="70" t="n"/>
      <c r="I148" s="70" t="n"/>
      <c r="J148" s="70" t="n"/>
      <c r="K148" s="70" t="n"/>
      <c r="L148" s="70" t="n"/>
    </row>
    <row r="149">
      <c r="A149" s="70" t="n"/>
      <c r="B149" s="70" t="n"/>
      <c r="C149" s="70" t="n"/>
      <c r="D149" s="70" t="n"/>
      <c r="E149" s="70" t="n"/>
      <c r="F149" s="70" t="n"/>
      <c r="G149" s="70" t="n"/>
      <c r="H149" s="70" t="n"/>
      <c r="I149" s="70" t="n"/>
      <c r="J149" s="70" t="n"/>
      <c r="K149" s="70" t="n"/>
      <c r="L149" s="70" t="n"/>
    </row>
    <row r="150">
      <c r="A150" s="70" t="n"/>
      <c r="B150" s="70" t="n"/>
      <c r="C150" s="70" t="n"/>
      <c r="D150" s="70" t="n"/>
      <c r="E150" s="70" t="n"/>
      <c r="F150" s="70" t="n"/>
      <c r="G150" s="70" t="n"/>
      <c r="H150" s="70" t="n"/>
      <c r="I150" s="70" t="n"/>
      <c r="J150" s="70" t="n"/>
      <c r="K150" s="70" t="n"/>
      <c r="L150" s="70" t="n"/>
    </row>
    <row r="151">
      <c r="A151" s="70" t="n"/>
      <c r="B151" s="70" t="n"/>
      <c r="C151" s="70" t="n"/>
      <c r="D151" s="70" t="n"/>
      <c r="E151" s="70" t="n"/>
      <c r="F151" s="70" t="n"/>
      <c r="G151" s="70" t="n"/>
      <c r="H151" s="70" t="n"/>
      <c r="I151" s="70" t="n"/>
      <c r="J151" s="70" t="n"/>
      <c r="K151" s="70" t="n"/>
      <c r="L151" s="70" t="n"/>
    </row>
    <row r="152">
      <c r="A152" s="70" t="n"/>
      <c r="B152" s="70" t="n"/>
      <c r="C152" s="70" t="n"/>
      <c r="D152" s="70" t="n"/>
      <c r="E152" s="70" t="n"/>
      <c r="F152" s="70" t="n"/>
      <c r="G152" s="70" t="n"/>
      <c r="H152" s="70" t="n"/>
      <c r="I152" s="70" t="n"/>
      <c r="J152" s="70" t="n"/>
      <c r="K152" s="70" t="n"/>
      <c r="L152" s="70" t="n"/>
    </row>
    <row r="153">
      <c r="A153" s="70" t="n"/>
      <c r="B153" s="70" t="n"/>
      <c r="C153" s="70" t="n"/>
      <c r="D153" s="70" t="n"/>
      <c r="E153" s="70" t="n"/>
      <c r="F153" s="70" t="n"/>
      <c r="G153" s="70" t="n"/>
      <c r="H153" s="70" t="n"/>
      <c r="I153" s="70" t="n"/>
      <c r="J153" s="70" t="n"/>
      <c r="K153" s="70" t="n"/>
      <c r="L153" s="70" t="n"/>
    </row>
    <row r="154">
      <c r="A154" s="70" t="n"/>
      <c r="B154" s="70" t="n"/>
      <c r="C154" s="70" t="n"/>
      <c r="D154" s="70" t="n"/>
      <c r="E154" s="70" t="n"/>
      <c r="F154" s="70" t="n"/>
      <c r="G154" s="70" t="n"/>
      <c r="H154" s="70" t="n"/>
      <c r="I154" s="70" t="n"/>
      <c r="J154" s="70" t="n"/>
      <c r="K154" s="70" t="n"/>
      <c r="L154" s="70" t="n"/>
    </row>
    <row r="155">
      <c r="A155" s="70" t="n"/>
      <c r="B155" s="70" t="n"/>
      <c r="C155" s="70" t="n"/>
      <c r="D155" s="70" t="n"/>
      <c r="E155" s="70" t="n"/>
      <c r="F155" s="70" t="n"/>
      <c r="G155" s="70" t="n"/>
      <c r="H155" s="70" t="n"/>
      <c r="I155" s="70" t="n"/>
      <c r="J155" s="70" t="n"/>
      <c r="K155" s="70" t="n"/>
      <c r="L155" s="70" t="n"/>
    </row>
    <row r="156">
      <c r="A156" s="70" t="n"/>
      <c r="B156" s="70" t="n"/>
      <c r="C156" s="70" t="n"/>
      <c r="D156" s="70" t="n"/>
      <c r="E156" s="70" t="n"/>
      <c r="F156" s="70" t="n"/>
      <c r="G156" s="70" t="n"/>
      <c r="H156" s="70" t="n"/>
      <c r="I156" s="70" t="n"/>
      <c r="J156" s="70" t="n"/>
      <c r="K156" s="70" t="n"/>
      <c r="L156" s="70" t="n"/>
    </row>
    <row r="157">
      <c r="A157" s="70" t="n"/>
      <c r="B157" s="70" t="n"/>
      <c r="C157" s="70" t="n"/>
      <c r="D157" s="70" t="n"/>
      <c r="E157" s="70" t="n"/>
      <c r="F157" s="70" t="n"/>
      <c r="G157" s="70" t="n"/>
      <c r="H157" s="70" t="n"/>
      <c r="I157" s="70" t="n"/>
      <c r="J157" s="70" t="n"/>
      <c r="K157" s="70" t="n"/>
      <c r="L157" s="70" t="n"/>
    </row>
    <row r="158">
      <c r="A158" s="70" t="n"/>
      <c r="B158" s="70" t="n"/>
      <c r="C158" s="70" t="n"/>
      <c r="D158" s="70" t="n"/>
      <c r="E158" s="70" t="n"/>
      <c r="F158" s="70" t="n"/>
      <c r="G158" s="70" t="n"/>
      <c r="H158" s="70" t="n"/>
      <c r="I158" s="70" t="n"/>
      <c r="J158" s="70" t="n"/>
      <c r="K158" s="70" t="n"/>
      <c r="L158" s="70" t="n"/>
    </row>
    <row r="159">
      <c r="A159" s="70" t="n"/>
      <c r="B159" s="70" t="n"/>
      <c r="C159" s="70" t="n"/>
      <c r="D159" s="70" t="n"/>
      <c r="E159" s="70" t="n"/>
      <c r="F159" s="70" t="n"/>
      <c r="G159" s="70" t="n"/>
      <c r="H159" s="70" t="n"/>
      <c r="I159" s="70" t="n"/>
      <c r="J159" s="70" t="n"/>
      <c r="K159" s="70" t="n"/>
      <c r="L159" s="70" t="n"/>
    </row>
    <row r="160">
      <c r="A160" s="70" t="n"/>
      <c r="B160" s="70" t="n"/>
      <c r="C160" s="70" t="n"/>
      <c r="D160" s="70" t="n"/>
      <c r="E160" s="70" t="n"/>
      <c r="F160" s="70" t="n"/>
      <c r="G160" s="70" t="n"/>
      <c r="H160" s="70" t="n"/>
      <c r="I160" s="70" t="n"/>
      <c r="J160" s="70" t="n"/>
      <c r="K160" s="70" t="n"/>
      <c r="L160" s="70" t="n"/>
    </row>
    <row r="161">
      <c r="A161" s="70" t="n"/>
      <c r="B161" s="70" t="n"/>
      <c r="C161" s="70" t="n"/>
      <c r="D161" s="70" t="n"/>
      <c r="E161" s="70" t="n"/>
      <c r="F161" s="70" t="n"/>
      <c r="G161" s="70" t="n"/>
      <c r="H161" s="70" t="n"/>
      <c r="I161" s="70" t="n"/>
      <c r="J161" s="70" t="n"/>
      <c r="K161" s="70" t="n"/>
      <c r="L161" s="70" t="n"/>
    </row>
    <row r="162">
      <c r="A162" s="70" t="n"/>
      <c r="B162" s="70" t="n"/>
      <c r="C162" s="70" t="n"/>
      <c r="D162" s="70" t="n"/>
      <c r="E162" s="70" t="n"/>
      <c r="F162" s="70" t="n"/>
      <c r="G162" s="70" t="n"/>
      <c r="H162" s="70" t="n"/>
      <c r="I162" s="70" t="n"/>
      <c r="J162" s="70" t="n"/>
      <c r="K162" s="70" t="n"/>
      <c r="L162" s="70" t="n"/>
    </row>
    <row r="163">
      <c r="A163" s="70" t="n"/>
      <c r="B163" s="70" t="n"/>
      <c r="C163" s="70" t="n"/>
      <c r="D163" s="70" t="n"/>
      <c r="E163" s="70" t="n"/>
      <c r="F163" s="70" t="n"/>
      <c r="G163" s="70" t="n"/>
      <c r="H163" s="70" t="n"/>
      <c r="I163" s="70" t="n"/>
      <c r="J163" s="70" t="n"/>
      <c r="K163" s="70" t="n"/>
      <c r="L163" s="70" t="n"/>
    </row>
    <row r="164">
      <c r="A164" s="70" t="n"/>
      <c r="B164" s="70" t="n"/>
      <c r="C164" s="70" t="n"/>
      <c r="D164" s="70" t="n"/>
      <c r="E164" s="70" t="n"/>
      <c r="F164" s="70" t="n"/>
      <c r="G164" s="70" t="n"/>
      <c r="H164" s="70" t="n"/>
      <c r="I164" s="70" t="n"/>
      <c r="J164" s="70" t="n"/>
      <c r="K164" s="70" t="n"/>
      <c r="L164" s="70" t="n"/>
    </row>
    <row r="165">
      <c r="A165" s="70" t="n"/>
      <c r="B165" s="70" t="n"/>
      <c r="C165" s="70" t="n"/>
      <c r="D165" s="70" t="n"/>
      <c r="E165" s="70" t="n"/>
      <c r="F165" s="70" t="n"/>
      <c r="G165" s="70" t="n"/>
      <c r="H165" s="70" t="n"/>
      <c r="I165" s="70" t="n"/>
      <c r="J165" s="70" t="n"/>
      <c r="K165" s="70" t="n"/>
      <c r="L165" s="70" t="n"/>
    </row>
    <row r="166">
      <c r="A166" s="70" t="n"/>
      <c r="B166" s="70" t="n"/>
      <c r="C166" s="70" t="n"/>
      <c r="D166" s="70" t="n"/>
      <c r="E166" s="70" t="n"/>
      <c r="F166" s="70" t="n"/>
      <c r="G166" s="70" t="n"/>
      <c r="H166" s="70" t="n"/>
      <c r="I166" s="70" t="n"/>
      <c r="J166" s="70" t="n"/>
      <c r="K166" s="70" t="n"/>
      <c r="L166" s="70" t="n"/>
    </row>
    <row r="167">
      <c r="A167" s="70" t="n"/>
      <c r="B167" s="70" t="n"/>
      <c r="C167" s="70" t="n"/>
      <c r="D167" s="70" t="n"/>
      <c r="E167" s="70" t="n"/>
      <c r="F167" s="70" t="n"/>
      <c r="G167" s="70" t="n"/>
      <c r="H167" s="70" t="n"/>
      <c r="I167" s="70" t="n"/>
      <c r="J167" s="70" t="n"/>
      <c r="K167" s="70" t="n"/>
      <c r="L167" s="70" t="n"/>
    </row>
    <row r="168">
      <c r="A168" s="70" t="n"/>
      <c r="B168" s="70" t="n"/>
      <c r="C168" s="70" t="n"/>
      <c r="D168" s="70" t="n"/>
      <c r="E168" s="70" t="n"/>
      <c r="F168" s="70" t="n"/>
      <c r="G168" s="70" t="n"/>
      <c r="H168" s="70" t="n"/>
      <c r="I168" s="70" t="n"/>
      <c r="J168" s="70" t="n"/>
      <c r="K168" s="70" t="n"/>
      <c r="L168" s="70" t="n"/>
    </row>
    <row r="169">
      <c r="A169" s="70" t="n"/>
      <c r="B169" s="70" t="n"/>
      <c r="C169" s="70" t="n"/>
      <c r="D169" s="70" t="n"/>
      <c r="E169" s="70" t="n"/>
      <c r="F169" s="70" t="n"/>
      <c r="G169" s="70" t="n"/>
      <c r="H169" s="70" t="n"/>
      <c r="I169" s="70" t="n"/>
      <c r="J169" s="70" t="n"/>
      <c r="K169" s="70" t="n"/>
      <c r="L169" s="70" t="n"/>
    </row>
    <row r="170">
      <c r="A170" s="70" t="n"/>
      <c r="B170" s="70" t="n"/>
      <c r="C170" s="70" t="n"/>
      <c r="D170" s="70" t="n"/>
      <c r="E170" s="70" t="n"/>
      <c r="F170" s="70" t="n"/>
      <c r="G170" s="70" t="n"/>
      <c r="H170" s="70" t="n"/>
      <c r="I170" s="70" t="n"/>
      <c r="J170" s="70" t="n"/>
      <c r="K170" s="70" t="n"/>
      <c r="L170" s="70" t="n"/>
    </row>
    <row r="171">
      <c r="A171" s="70" t="n"/>
      <c r="B171" s="70" t="n"/>
      <c r="C171" s="70" t="n"/>
      <c r="D171" s="70" t="n"/>
      <c r="E171" s="70" t="n"/>
      <c r="F171" s="70" t="n"/>
      <c r="G171" s="70" t="n"/>
      <c r="H171" s="70" t="n"/>
      <c r="I171" s="70" t="n"/>
      <c r="J171" s="70" t="n"/>
      <c r="K171" s="70" t="n"/>
      <c r="L171" s="70" t="n"/>
    </row>
    <row r="172">
      <c r="A172" s="70" t="n"/>
      <c r="B172" s="70" t="n"/>
      <c r="C172" s="70" t="n"/>
      <c r="D172" s="70" t="n"/>
      <c r="E172" s="70" t="n"/>
      <c r="F172" s="70" t="n"/>
      <c r="G172" s="70" t="n"/>
      <c r="H172" s="70" t="n"/>
      <c r="I172" s="70" t="n"/>
      <c r="J172" s="70" t="n"/>
      <c r="K172" s="70" t="n"/>
      <c r="L172" s="70" t="n"/>
    </row>
    <row r="173">
      <c r="A173" s="70" t="n"/>
      <c r="B173" s="70" t="n"/>
      <c r="C173" s="70" t="n"/>
      <c r="D173" s="70" t="n"/>
      <c r="E173" s="70" t="n"/>
      <c r="F173" s="70" t="n"/>
      <c r="G173" s="70" t="n"/>
      <c r="H173" s="70" t="n"/>
      <c r="I173" s="70" t="n"/>
      <c r="J173" s="70" t="n"/>
      <c r="K173" s="70" t="n"/>
      <c r="L173" s="70" t="n"/>
    </row>
    <row r="174">
      <c r="A174" s="70" t="n"/>
      <c r="B174" s="70" t="n"/>
      <c r="C174" s="70" t="n"/>
      <c r="D174" s="70" t="n"/>
      <c r="E174" s="70" t="n"/>
      <c r="F174" s="70" t="n"/>
      <c r="G174" s="70" t="n"/>
      <c r="H174" s="70" t="n"/>
      <c r="I174" s="70" t="n"/>
      <c r="J174" s="70" t="n"/>
      <c r="K174" s="70" t="n"/>
      <c r="L174" s="70" t="n"/>
    </row>
    <row r="175">
      <c r="A175" s="70" t="n"/>
      <c r="B175" s="70" t="n"/>
      <c r="C175" s="70" t="n"/>
      <c r="D175" s="70" t="n"/>
      <c r="E175" s="70" t="n"/>
      <c r="F175" s="70" t="n"/>
      <c r="G175" s="70" t="n"/>
      <c r="H175" s="70" t="n"/>
      <c r="I175" s="70" t="n"/>
      <c r="J175" s="70" t="n"/>
      <c r="K175" s="70" t="n"/>
      <c r="L175" s="70" t="n"/>
    </row>
    <row r="176">
      <c r="A176" s="70" t="n"/>
      <c r="B176" s="70" t="n"/>
      <c r="C176" s="70" t="n"/>
      <c r="D176" s="70" t="n"/>
      <c r="E176" s="70" t="n"/>
      <c r="F176" s="70" t="n"/>
      <c r="G176" s="70" t="n"/>
      <c r="H176" s="70" t="n"/>
      <c r="I176" s="70" t="n"/>
      <c r="J176" s="70" t="n"/>
      <c r="K176" s="70" t="n"/>
      <c r="L176" s="70" t="n"/>
    </row>
    <row r="177">
      <c r="A177" s="70" t="n"/>
      <c r="B177" s="70" t="n"/>
      <c r="C177" s="70" t="n"/>
      <c r="D177" s="70" t="n"/>
      <c r="E177" s="70" t="n"/>
      <c r="F177" s="70" t="n"/>
      <c r="G177" s="70" t="n"/>
      <c r="H177" s="70" t="n"/>
      <c r="I177" s="70" t="n"/>
      <c r="J177" s="70" t="n"/>
      <c r="K177" s="70" t="n"/>
      <c r="L177" s="70" t="n"/>
    </row>
    <row r="178">
      <c r="A178" s="70" t="n"/>
      <c r="B178" s="70" t="n"/>
      <c r="C178" s="70" t="n"/>
      <c r="D178" s="70" t="n"/>
      <c r="E178" s="70" t="n"/>
      <c r="F178" s="70" t="n"/>
      <c r="G178" s="70" t="n"/>
      <c r="H178" s="70" t="n"/>
      <c r="I178" s="70" t="n"/>
      <c r="J178" s="70" t="n"/>
      <c r="K178" s="70" t="n"/>
      <c r="L178" s="70" t="n"/>
    </row>
    <row r="179">
      <c r="A179" s="70" t="n"/>
      <c r="B179" s="70" t="n"/>
      <c r="C179" s="70" t="n"/>
      <c r="D179" s="70" t="n"/>
      <c r="E179" s="70" t="n"/>
      <c r="F179" s="70" t="n"/>
      <c r="G179" s="70" t="n"/>
      <c r="H179" s="70" t="n"/>
      <c r="I179" s="70" t="n"/>
      <c r="J179" s="70" t="n"/>
      <c r="K179" s="70" t="n"/>
      <c r="L179" s="70" t="n"/>
    </row>
    <row r="180">
      <c r="A180" s="70" t="n"/>
      <c r="B180" s="70" t="n"/>
      <c r="C180" s="70" t="n"/>
      <c r="D180" s="70" t="n"/>
      <c r="E180" s="70" t="n"/>
      <c r="F180" s="70" t="n"/>
      <c r="G180" s="70" t="n"/>
      <c r="H180" s="70" t="n"/>
      <c r="I180" s="70" t="n"/>
      <c r="J180" s="70" t="n"/>
      <c r="K180" s="70" t="n"/>
      <c r="L180" s="70" t="n"/>
    </row>
    <row r="181">
      <c r="A181" s="70" t="n"/>
      <c r="B181" s="70" t="n"/>
      <c r="C181" s="70" t="n"/>
      <c r="D181" s="70" t="n"/>
      <c r="E181" s="70" t="n"/>
      <c r="F181" s="70" t="n"/>
      <c r="G181" s="70" t="n"/>
      <c r="H181" s="70" t="n"/>
      <c r="I181" s="70" t="n"/>
      <c r="J181" s="70" t="n"/>
      <c r="K181" s="70" t="n"/>
      <c r="L181" s="70" t="n"/>
    </row>
    <row r="182">
      <c r="A182" s="70" t="n"/>
      <c r="B182" s="70" t="n"/>
      <c r="C182" s="70" t="n"/>
      <c r="D182" s="70" t="n"/>
      <c r="E182" s="70" t="n"/>
      <c r="F182" s="70" t="n"/>
      <c r="G182" s="70" t="n"/>
      <c r="H182" s="70" t="n"/>
      <c r="I182" s="70" t="n"/>
      <c r="J182" s="70" t="n"/>
      <c r="K182" s="70" t="n"/>
      <c r="L182" s="70" t="n"/>
    </row>
    <row r="183">
      <c r="A183" s="70" t="n"/>
      <c r="B183" s="70" t="n"/>
      <c r="C183" s="70" t="n"/>
      <c r="D183" s="70" t="n"/>
      <c r="E183" s="70" t="n"/>
      <c r="F183" s="70" t="n"/>
      <c r="G183" s="70" t="n"/>
      <c r="H183" s="70" t="n"/>
      <c r="I183" s="70" t="n"/>
      <c r="J183" s="70" t="n"/>
      <c r="K183" s="70" t="n"/>
      <c r="L183" s="70" t="n"/>
    </row>
    <row r="184">
      <c r="A184" s="70" t="n"/>
      <c r="B184" s="70" t="n"/>
      <c r="C184" s="70" t="n"/>
      <c r="D184" s="70" t="n"/>
      <c r="E184" s="70" t="n"/>
      <c r="F184" s="70" t="n"/>
      <c r="G184" s="70" t="n"/>
      <c r="H184" s="70" t="n"/>
      <c r="I184" s="70" t="n"/>
      <c r="J184" s="70" t="n"/>
      <c r="K184" s="70" t="n"/>
      <c r="L184" s="70" t="n"/>
    </row>
    <row r="185">
      <c r="A185" s="70" t="n"/>
      <c r="B185" s="70" t="n"/>
      <c r="C185" s="70" t="n"/>
      <c r="D185" s="70" t="n"/>
      <c r="E185" s="70" t="n"/>
      <c r="F185" s="70" t="n"/>
      <c r="G185" s="70" t="n"/>
      <c r="H185" s="70" t="n"/>
      <c r="I185" s="70" t="n"/>
      <c r="J185" s="70" t="n"/>
      <c r="K185" s="70" t="n"/>
      <c r="L185" s="70" t="n"/>
    </row>
    <row r="186">
      <c r="A186" s="70" t="n"/>
      <c r="B186" s="70" t="n"/>
      <c r="C186" s="70" t="n"/>
      <c r="D186" s="70" t="n"/>
      <c r="E186" s="70" t="n"/>
      <c r="F186" s="70" t="n"/>
      <c r="G186" s="70" t="n"/>
      <c r="H186" s="70" t="n"/>
      <c r="I186" s="70" t="n"/>
      <c r="J186" s="70" t="n"/>
      <c r="K186" s="70" t="n"/>
      <c r="L186" s="70" t="n"/>
    </row>
    <row r="187">
      <c r="A187" s="70" t="n"/>
      <c r="B187" s="70" t="n"/>
      <c r="C187" s="70" t="n"/>
      <c r="D187" s="70" t="n"/>
      <c r="E187" s="70" t="n"/>
      <c r="F187" s="70" t="n"/>
      <c r="G187" s="70" t="n"/>
      <c r="H187" s="70" t="n"/>
      <c r="I187" s="70" t="n"/>
      <c r="J187" s="70" t="n"/>
      <c r="K187" s="70" t="n"/>
      <c r="L187" s="70" t="n"/>
    </row>
    <row r="188">
      <c r="A188" s="70" t="n"/>
      <c r="B188" s="70" t="n"/>
      <c r="C188" s="70" t="n"/>
      <c r="D188" s="70" t="n"/>
      <c r="E188" s="70" t="n"/>
      <c r="F188" s="70" t="n"/>
      <c r="G188" s="70" t="n"/>
      <c r="H188" s="70" t="n"/>
      <c r="I188" s="70" t="n"/>
      <c r="J188" s="70" t="n"/>
      <c r="K188" s="70" t="n"/>
      <c r="L188" s="70" t="n"/>
    </row>
    <row r="189">
      <c r="A189" s="70" t="n"/>
      <c r="B189" s="70" t="n"/>
      <c r="C189" s="70" t="n"/>
      <c r="D189" s="70" t="n"/>
      <c r="E189" s="70" t="n"/>
      <c r="F189" s="70" t="n"/>
      <c r="G189" s="70" t="n"/>
      <c r="H189" s="70" t="n"/>
      <c r="I189" s="70" t="n"/>
      <c r="J189" s="70" t="n"/>
      <c r="K189" s="70" t="n"/>
      <c r="L189" s="70" t="n"/>
    </row>
    <row r="190">
      <c r="A190" s="70" t="n"/>
      <c r="B190" s="70" t="n"/>
      <c r="C190" s="70" t="n"/>
      <c r="D190" s="70" t="n"/>
      <c r="E190" s="70" t="n"/>
      <c r="F190" s="70" t="n"/>
      <c r="G190" s="70" t="n"/>
      <c r="H190" s="70" t="n"/>
      <c r="I190" s="70" t="n"/>
      <c r="J190" s="70" t="n"/>
      <c r="K190" s="70" t="n"/>
      <c r="L190" s="70" t="n"/>
    </row>
    <row r="191">
      <c r="A191" s="70" t="n"/>
      <c r="B191" s="70" t="n"/>
      <c r="C191" s="70" t="n"/>
      <c r="D191" s="70" t="n"/>
      <c r="E191" s="70" t="n"/>
      <c r="F191" s="70" t="n"/>
      <c r="G191" s="70" t="n"/>
      <c r="H191" s="70" t="n"/>
      <c r="I191" s="70" t="n"/>
      <c r="J191" s="70" t="n"/>
      <c r="K191" s="70" t="n"/>
      <c r="L191" s="70" t="n"/>
    </row>
    <row r="192">
      <c r="A192" s="70" t="n"/>
      <c r="B192" s="70" t="n"/>
      <c r="C192" s="70" t="n"/>
      <c r="D192" s="70" t="n"/>
      <c r="E192" s="70" t="n"/>
      <c r="F192" s="70" t="n"/>
      <c r="G192" s="70" t="n"/>
      <c r="H192" s="70" t="n"/>
      <c r="I192" s="70" t="n"/>
      <c r="J192" s="70" t="n"/>
      <c r="K192" s="70" t="n"/>
      <c r="L192" s="70" t="n"/>
    </row>
    <row r="193">
      <c r="A193" s="70" t="n"/>
      <c r="B193" s="70" t="n"/>
      <c r="C193" s="70" t="n"/>
      <c r="D193" s="70" t="n"/>
      <c r="E193" s="70" t="n"/>
      <c r="F193" s="70" t="n"/>
      <c r="G193" s="70" t="n"/>
      <c r="H193" s="70" t="n"/>
      <c r="I193" s="70" t="n"/>
      <c r="J193" s="70" t="n"/>
      <c r="K193" s="70" t="n"/>
      <c r="L193" s="70" t="n"/>
    </row>
    <row r="194">
      <c r="A194" s="70" t="n"/>
      <c r="B194" s="70" t="n"/>
      <c r="C194" s="70" t="n"/>
      <c r="D194" s="70" t="n"/>
      <c r="E194" s="70" t="n"/>
      <c r="F194" s="70" t="n"/>
      <c r="G194" s="70" t="n"/>
      <c r="H194" s="70" t="n"/>
      <c r="I194" s="70" t="n"/>
      <c r="J194" s="70" t="n"/>
      <c r="K194" s="70" t="n"/>
      <c r="L194" s="70" t="n"/>
    </row>
    <row r="195">
      <c r="A195" s="70" t="n"/>
      <c r="B195" s="70" t="n"/>
      <c r="C195" s="70" t="n"/>
      <c r="D195" s="70" t="n"/>
      <c r="E195" s="70" t="n"/>
      <c r="F195" s="70" t="n"/>
      <c r="G195" s="70" t="n"/>
      <c r="H195" s="70" t="n"/>
      <c r="I195" s="70" t="n"/>
      <c r="J195" s="70" t="n"/>
      <c r="K195" s="70" t="n"/>
      <c r="L195" s="70" t="n"/>
    </row>
    <row r="196">
      <c r="A196" s="70" t="n"/>
      <c r="B196" s="70" t="n"/>
      <c r="C196" s="70" t="n"/>
      <c r="D196" s="70" t="n"/>
      <c r="E196" s="70" t="n"/>
      <c r="F196" s="70" t="n"/>
      <c r="G196" s="70" t="n"/>
      <c r="H196" s="70" t="n"/>
      <c r="I196" s="70" t="n"/>
      <c r="J196" s="70" t="n"/>
      <c r="K196" s="70" t="n"/>
      <c r="L196" s="70" t="n"/>
    </row>
    <row r="197">
      <c r="A197" s="70" t="n"/>
      <c r="B197" s="70" t="n"/>
      <c r="C197" s="70" t="n"/>
      <c r="D197" s="70" t="n"/>
      <c r="E197" s="70" t="n"/>
      <c r="F197" s="70" t="n"/>
      <c r="G197" s="70" t="n"/>
      <c r="H197" s="70" t="n"/>
      <c r="I197" s="70" t="n"/>
      <c r="J197" s="70" t="n"/>
      <c r="K197" s="70" t="n"/>
      <c r="L197" s="70" t="n"/>
    </row>
    <row r="198">
      <c r="A198" s="70" t="n"/>
      <c r="B198" s="70" t="n"/>
      <c r="C198" s="70" t="n"/>
      <c r="D198" s="70" t="n"/>
      <c r="E198" s="70" t="n"/>
      <c r="F198" s="70" t="n"/>
      <c r="G198" s="70" t="n"/>
      <c r="H198" s="70" t="n"/>
      <c r="I198" s="70" t="n"/>
      <c r="J198" s="70" t="n"/>
      <c r="K198" s="70" t="n"/>
      <c r="L198" s="70" t="n"/>
    </row>
    <row r="199">
      <c r="A199" s="70" t="n"/>
      <c r="B199" s="70" t="n"/>
      <c r="C199" s="70" t="n"/>
      <c r="D199" s="70" t="n"/>
      <c r="E199" s="70" t="n"/>
      <c r="F199" s="70" t="n"/>
      <c r="G199" s="70" t="n"/>
      <c r="H199" s="70" t="n"/>
      <c r="I199" s="70" t="n"/>
      <c r="J199" s="70" t="n"/>
      <c r="K199" s="70" t="n"/>
      <c r="L199" s="70" t="n"/>
    </row>
    <row r="200">
      <c r="A200" s="70" t="n"/>
      <c r="B200" s="70" t="n"/>
      <c r="C200" s="70" t="n"/>
      <c r="D200" s="70" t="n"/>
      <c r="E200" s="70" t="n"/>
      <c r="F200" s="70" t="n"/>
      <c r="G200" s="70" t="n"/>
      <c r="H200" s="70" t="n"/>
      <c r="I200" s="70" t="n"/>
      <c r="J200" s="70" t="n"/>
      <c r="K200" s="70" t="n"/>
      <c r="L200" s="70" t="n"/>
    </row>
  </sheetData>
  <conditionalFormatting sqref="J2:J121">
    <cfRule type="expression" priority="1" dxfId="0">
      <formula>J2="COMPRAR"</formula>
    </cfRule>
    <cfRule type="expression" priority="2" dxfId="1">
      <formula>J2="OK"</formula>
    </cfRule>
  </conditionalFormatting>
  <conditionalFormatting sqref="H2:H121">
    <cfRule type="expression" priority="3" dxfId="2">
      <formula>AND($A2&lt;&gt;"",$H2&lt;=$I2)</formula>
    </cfRule>
  </conditionalFormatting>
  <dataValidations count="2">
    <dataValidation sqref="C2:C121" showDropDown="0" showInputMessage="0" showErrorMessage="0" allowBlank="0" type="list">
      <formula1>Listas!$A$2:$A$18</formula1>
    </dataValidation>
    <dataValidation sqref="D2:D121" showDropDown="0" showInputMessage="0" showErrorMessage="0" allowBlank="0" type="list">
      <formula1>Listas!$C$2:$C$11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2"/>
  <sheetViews>
    <sheetView workbookViewId="0">
      <selection activeCell="A1" sqref="A1"/>
    </sheetView>
  </sheetViews>
  <sheetFormatPr baseColWidth="8" defaultRowHeight="15"/>
  <cols>
    <col width="13" customWidth="1" style="94" min="1" max="1"/>
    <col width="12" customWidth="1" style="94" min="2" max="2"/>
    <col width="26" customWidth="1" style="94" min="3" max="3"/>
    <col width="16" customWidth="1" style="94" min="4" max="4"/>
    <col width="12" customWidth="1" style="94" min="5" max="5"/>
    <col width="16" customWidth="1" style="94" min="6" max="6"/>
    <col width="12" customWidth="1" style="94" min="7" max="7"/>
    <col width="13" customWidth="1" style="94" min="8" max="8"/>
    <col width="36" customWidth="1" style="94" min="9" max="9"/>
    <col width="16" customWidth="1" style="94" min="10" max="10"/>
  </cols>
  <sheetData>
    <row r="1">
      <c r="A1" s="6" t="inlineStr">
        <is>
          <t>Data</t>
        </is>
      </c>
      <c r="B1" s="6" t="inlineStr">
        <is>
          <t>Código</t>
        </is>
      </c>
      <c r="C1" s="6" t="inlineStr">
        <is>
          <t>Produto</t>
        </is>
      </c>
      <c r="D1" s="6" t="inlineStr">
        <is>
          <t>Tipo</t>
        </is>
      </c>
      <c r="E1" s="6" t="inlineStr">
        <is>
          <t>Quantidade</t>
        </is>
      </c>
      <c r="F1" s="6" t="inlineStr">
        <is>
          <t>Responsável</t>
        </is>
      </c>
      <c r="G1" s="6" t="inlineStr">
        <is>
          <t>Preço Unit.</t>
        </is>
      </c>
      <c r="H1" s="6" t="inlineStr">
        <is>
          <t>Total Compra</t>
        </is>
      </c>
      <c r="I1" s="6" t="inlineStr">
        <is>
          <t>Observação</t>
        </is>
      </c>
      <c r="J1" s="6" t="inlineStr">
        <is>
          <t>Chave sistema</t>
        </is>
      </c>
      <c r="K1" s="70" t="n"/>
      <c r="L1" s="70" t="n"/>
    </row>
    <row r="2">
      <c r="A2" s="114" t="n">
        <v>46171</v>
      </c>
      <c r="B2" s="70" t="inlineStr">
        <is>
          <t>LIMP-001</t>
        </is>
      </c>
      <c r="C2" s="70">
        <f>IFERROR(VLOOKUP(B2,Estoque!$A$2:$B$121,2,FALSE),"")</f>
        <v/>
      </c>
      <c r="D2" s="70" t="inlineStr">
        <is>
          <t>Compra</t>
        </is>
      </c>
      <c r="E2" s="115" t="n">
        <v>5</v>
      </c>
      <c r="F2" s="70" t="inlineStr">
        <is>
          <t>Rafael</t>
        </is>
      </c>
      <c r="G2" s="116" t="n">
        <v>1.5</v>
      </c>
      <c r="H2" s="116">
        <f>IF(D2="Compra",E2*G2,"")</f>
        <v/>
      </c>
      <c r="I2" s="70" t="inlineStr">
        <is>
          <t>Exemplo: compra adiciona ao estoque</t>
        </is>
      </c>
      <c r="J2" s="89">
        <f>IF(B2="","",B2&amp;"|"&amp;D2)</f>
        <v/>
      </c>
      <c r="K2" s="70" t="n"/>
      <c r="L2" s="70" t="n"/>
    </row>
    <row r="3">
      <c r="A3" s="114" t="n">
        <v>46171</v>
      </c>
      <c r="B3" s="70" t="inlineStr">
        <is>
          <t>LIMP-002</t>
        </is>
      </c>
      <c r="C3" s="70">
        <f>IFERROR(VLOOKUP(B3,Estoque!$A$2:$B$121,2,FALSE),"")</f>
        <v/>
      </c>
      <c r="D3" s="70" t="inlineStr">
        <is>
          <t>Retirada</t>
        </is>
      </c>
      <c r="E3" s="115" t="n">
        <v>1</v>
      </c>
      <c r="F3" s="70" t="inlineStr">
        <is>
          <t>Rafael</t>
        </is>
      </c>
      <c r="G3" s="116" t="n"/>
      <c r="H3" s="116">
        <f>IF(D3="Compra",E3*G3,"")</f>
        <v/>
      </c>
      <c r="I3" s="70" t="inlineStr">
        <is>
          <t>Exemplo: retirada reduz o estoque</t>
        </is>
      </c>
      <c r="J3" s="89">
        <f>IF(B3="","",B3&amp;"|"&amp;D3)</f>
        <v/>
      </c>
      <c r="K3" s="70" t="n"/>
      <c r="L3" s="70" t="n"/>
    </row>
    <row r="4">
      <c r="A4" s="114" t="n"/>
      <c r="B4" s="70" t="n"/>
      <c r="C4" s="70">
        <f>IFERROR(VLOOKUP(B4,Estoque!$A$2:$B$121,2,FALSE),"")</f>
        <v/>
      </c>
      <c r="D4" s="70" t="n"/>
      <c r="E4" s="115" t="n"/>
      <c r="F4" s="70" t="n"/>
      <c r="G4" s="116" t="n"/>
      <c r="H4" s="116">
        <f>IF(D4="Compra",E4*G4,"")</f>
        <v/>
      </c>
      <c r="I4" s="70" t="n"/>
      <c r="J4" s="89">
        <f>IF(B4="","",B4&amp;"|"&amp;D4)</f>
        <v/>
      </c>
      <c r="K4" s="70" t="n"/>
      <c r="L4" s="70" t="n"/>
    </row>
    <row r="5">
      <c r="A5" s="114" t="n"/>
      <c r="B5" s="70" t="n"/>
      <c r="C5" s="70">
        <f>IFERROR(VLOOKUP(B5,Estoque!$A$2:$B$121,2,FALSE),"")</f>
        <v/>
      </c>
      <c r="D5" s="70" t="n"/>
      <c r="E5" s="115" t="n"/>
      <c r="F5" s="70" t="n"/>
      <c r="G5" s="116" t="n"/>
      <c r="H5" s="116">
        <f>IF(D5="Compra",E5*G5,"")</f>
        <v/>
      </c>
      <c r="I5" s="70" t="n"/>
      <c r="J5" s="89">
        <f>IF(B5="","",B5&amp;"|"&amp;D5)</f>
        <v/>
      </c>
      <c r="K5" s="70" t="n"/>
      <c r="L5" s="70" t="n"/>
    </row>
    <row r="6">
      <c r="A6" s="114" t="n"/>
      <c r="B6" s="70" t="n"/>
      <c r="C6" s="70">
        <f>IFERROR(VLOOKUP(B6,Estoque!$A$2:$B$121,2,FALSE),"")</f>
        <v/>
      </c>
      <c r="D6" s="70" t="n"/>
      <c r="E6" s="115" t="n"/>
      <c r="F6" s="70" t="n"/>
      <c r="G6" s="116" t="n"/>
      <c r="H6" s="116">
        <f>IF(D6="Compra",E6*G6,"")</f>
        <v/>
      </c>
      <c r="I6" s="70" t="n"/>
      <c r="J6" s="89">
        <f>IF(B6="","",B6&amp;"|"&amp;D6)</f>
        <v/>
      </c>
      <c r="K6" s="70" t="n"/>
      <c r="L6" s="70" t="n"/>
    </row>
    <row r="7">
      <c r="A7" s="114" t="n"/>
      <c r="B7" s="70" t="n"/>
      <c r="C7" s="70">
        <f>IFERROR(VLOOKUP(B7,Estoque!$A$2:$B$121,2,FALSE),"")</f>
        <v/>
      </c>
      <c r="D7" s="70" t="n"/>
      <c r="E7" s="115" t="n"/>
      <c r="F7" s="70" t="n"/>
      <c r="G7" s="116" t="n"/>
      <c r="H7" s="116">
        <f>IF(D7="Compra",E7*G7,"")</f>
        <v/>
      </c>
      <c r="I7" s="70" t="n"/>
      <c r="J7" s="89">
        <f>IF(B7="","",B7&amp;"|"&amp;D7)</f>
        <v/>
      </c>
      <c r="K7" s="70" t="n"/>
      <c r="L7" s="70" t="n"/>
    </row>
    <row r="8">
      <c r="A8" s="114" t="n"/>
      <c r="B8" s="70" t="n"/>
      <c r="C8" s="70">
        <f>IFERROR(VLOOKUP(B8,Estoque!$A$2:$B$121,2,FALSE),"")</f>
        <v/>
      </c>
      <c r="D8" s="70" t="n"/>
      <c r="E8" s="115" t="n"/>
      <c r="F8" s="70" t="n"/>
      <c r="G8" s="116" t="n"/>
      <c r="H8" s="116">
        <f>IF(D8="Compra",E8*G8,"")</f>
        <v/>
      </c>
      <c r="I8" s="70" t="n"/>
      <c r="J8" s="89">
        <f>IF(B8="","",B8&amp;"|"&amp;D8)</f>
        <v/>
      </c>
      <c r="K8" s="70" t="n"/>
      <c r="L8" s="70" t="n"/>
    </row>
    <row r="9">
      <c r="A9" s="114" t="n"/>
      <c r="B9" s="70" t="n"/>
      <c r="C9" s="70">
        <f>IFERROR(VLOOKUP(B9,Estoque!$A$2:$B$121,2,FALSE),"")</f>
        <v/>
      </c>
      <c r="D9" s="70" t="n"/>
      <c r="E9" s="115" t="n"/>
      <c r="F9" s="70" t="n"/>
      <c r="G9" s="116" t="n"/>
      <c r="H9" s="116">
        <f>IF(D9="Compra",E9*G9,"")</f>
        <v/>
      </c>
      <c r="I9" s="70" t="n"/>
      <c r="J9" s="89">
        <f>IF(B9="","",B9&amp;"|"&amp;D9)</f>
        <v/>
      </c>
      <c r="K9" s="70" t="n"/>
      <c r="L9" s="70" t="n"/>
    </row>
    <row r="10">
      <c r="A10" s="114" t="n"/>
      <c r="B10" s="70" t="n"/>
      <c r="C10" s="70">
        <f>IFERROR(VLOOKUP(B10,Estoque!$A$2:$B$121,2,FALSE),"")</f>
        <v/>
      </c>
      <c r="D10" s="70" t="n"/>
      <c r="E10" s="115" t="n"/>
      <c r="F10" s="70" t="n"/>
      <c r="G10" s="116" t="n"/>
      <c r="H10" s="116">
        <f>IF(D10="Compra",E10*G10,"")</f>
        <v/>
      </c>
      <c r="I10" s="70" t="n"/>
      <c r="J10" s="89">
        <f>IF(B10="","",B10&amp;"|"&amp;D10)</f>
        <v/>
      </c>
      <c r="K10" s="70" t="n"/>
      <c r="L10" s="70" t="n"/>
    </row>
    <row r="11">
      <c r="A11" s="114" t="n"/>
      <c r="B11" s="70" t="n"/>
      <c r="C11" s="70">
        <f>IFERROR(VLOOKUP(B11,Estoque!$A$2:$B$121,2,FALSE),"")</f>
        <v/>
      </c>
      <c r="D11" s="70" t="n"/>
      <c r="E11" s="115" t="n"/>
      <c r="F11" s="70" t="n"/>
      <c r="G11" s="116" t="n"/>
      <c r="H11" s="116">
        <f>IF(D11="Compra",E11*G11,"")</f>
        <v/>
      </c>
      <c r="I11" s="70" t="n"/>
      <c r="J11" s="89">
        <f>IF(B11="","",B11&amp;"|"&amp;D11)</f>
        <v/>
      </c>
      <c r="K11" s="70" t="n"/>
      <c r="L11" s="70" t="n"/>
    </row>
    <row r="12">
      <c r="A12" s="114" t="n"/>
      <c r="B12" s="70" t="n"/>
      <c r="C12" s="70">
        <f>IFERROR(VLOOKUP(B12,Estoque!$A$2:$B$121,2,FALSE),"")</f>
        <v/>
      </c>
      <c r="D12" s="70" t="n"/>
      <c r="E12" s="115" t="n"/>
      <c r="F12" s="70" t="n"/>
      <c r="G12" s="116" t="n"/>
      <c r="H12" s="116">
        <f>IF(D12="Compra",E12*G12,"")</f>
        <v/>
      </c>
      <c r="I12" s="70" t="n"/>
      <c r="J12" s="89">
        <f>IF(B12="","",B12&amp;"|"&amp;D12)</f>
        <v/>
      </c>
      <c r="K12" s="70" t="n"/>
      <c r="L12" s="70" t="n"/>
    </row>
    <row r="13">
      <c r="A13" s="114" t="n"/>
      <c r="B13" s="70" t="n"/>
      <c r="C13" s="70">
        <f>IFERROR(VLOOKUP(B13,Estoque!$A$2:$B$121,2,FALSE),"")</f>
        <v/>
      </c>
      <c r="D13" s="70" t="n"/>
      <c r="E13" s="115" t="n"/>
      <c r="F13" s="70" t="n"/>
      <c r="G13" s="116" t="n"/>
      <c r="H13" s="116">
        <f>IF(D13="Compra",E13*G13,"")</f>
        <v/>
      </c>
      <c r="I13" s="70" t="n"/>
      <c r="J13" s="89">
        <f>IF(B13="","",B13&amp;"|"&amp;D13)</f>
        <v/>
      </c>
      <c r="K13" s="70" t="n"/>
      <c r="L13" s="70" t="n"/>
    </row>
    <row r="14">
      <c r="A14" s="114" t="n"/>
      <c r="B14" s="70" t="n"/>
      <c r="C14" s="70">
        <f>IFERROR(VLOOKUP(B14,Estoque!$A$2:$B$121,2,FALSE),"")</f>
        <v/>
      </c>
      <c r="D14" s="70" t="n"/>
      <c r="E14" s="115" t="n"/>
      <c r="F14" s="70" t="n"/>
      <c r="G14" s="116" t="n"/>
      <c r="H14" s="116">
        <f>IF(D14="Compra",E14*G14,"")</f>
        <v/>
      </c>
      <c r="I14" s="70" t="n"/>
      <c r="J14" s="89">
        <f>IF(B14="","",B14&amp;"|"&amp;D14)</f>
        <v/>
      </c>
      <c r="K14" s="70" t="n"/>
      <c r="L14" s="70" t="n"/>
    </row>
    <row r="15">
      <c r="A15" s="114" t="n"/>
      <c r="B15" s="70" t="n"/>
      <c r="C15" s="70">
        <f>IFERROR(VLOOKUP(B15,Estoque!$A$2:$B$121,2,FALSE),"")</f>
        <v/>
      </c>
      <c r="D15" s="70" t="n"/>
      <c r="E15" s="115" t="n"/>
      <c r="F15" s="70" t="n"/>
      <c r="G15" s="116" t="n"/>
      <c r="H15" s="116">
        <f>IF(D15="Compra",E15*G15,"")</f>
        <v/>
      </c>
      <c r="I15" s="70" t="n"/>
      <c r="J15" s="89">
        <f>IF(B15="","",B15&amp;"|"&amp;D15)</f>
        <v/>
      </c>
      <c r="K15" s="70" t="n"/>
      <c r="L15" s="70" t="n"/>
    </row>
    <row r="16">
      <c r="A16" s="114" t="n"/>
      <c r="B16" s="70" t="n"/>
      <c r="C16" s="70">
        <f>IFERROR(VLOOKUP(B16,Estoque!$A$2:$B$121,2,FALSE),"")</f>
        <v/>
      </c>
      <c r="D16" s="70" t="n"/>
      <c r="E16" s="115" t="n"/>
      <c r="F16" s="70" t="n"/>
      <c r="G16" s="116" t="n"/>
      <c r="H16" s="116">
        <f>IF(D16="Compra",E16*G16,"")</f>
        <v/>
      </c>
      <c r="I16" s="70" t="n"/>
      <c r="J16" s="89">
        <f>IF(B16="","",B16&amp;"|"&amp;D16)</f>
        <v/>
      </c>
      <c r="K16" s="70" t="n"/>
      <c r="L16" s="70" t="n"/>
    </row>
    <row r="17">
      <c r="A17" s="114" t="n"/>
      <c r="B17" s="70" t="n"/>
      <c r="C17" s="70">
        <f>IFERROR(VLOOKUP(B17,Estoque!$A$2:$B$121,2,FALSE),"")</f>
        <v/>
      </c>
      <c r="D17" s="70" t="n"/>
      <c r="E17" s="115" t="n"/>
      <c r="F17" s="70" t="n"/>
      <c r="G17" s="116" t="n"/>
      <c r="H17" s="116">
        <f>IF(D17="Compra",E17*G17,"")</f>
        <v/>
      </c>
      <c r="I17" s="70" t="n"/>
      <c r="J17" s="89">
        <f>IF(B17="","",B17&amp;"|"&amp;D17)</f>
        <v/>
      </c>
      <c r="K17" s="70" t="n"/>
      <c r="L17" s="70" t="n"/>
    </row>
    <row r="18">
      <c r="A18" s="114" t="n"/>
      <c r="B18" s="70" t="n"/>
      <c r="C18" s="70">
        <f>IFERROR(VLOOKUP(B18,Estoque!$A$2:$B$121,2,FALSE),"")</f>
        <v/>
      </c>
      <c r="D18" s="70" t="n"/>
      <c r="E18" s="115" t="n"/>
      <c r="F18" s="70" t="n"/>
      <c r="G18" s="116" t="n"/>
      <c r="H18" s="116">
        <f>IF(D18="Compra",E18*G18,"")</f>
        <v/>
      </c>
      <c r="I18" s="70" t="n"/>
      <c r="J18" s="89">
        <f>IF(B18="","",B18&amp;"|"&amp;D18)</f>
        <v/>
      </c>
      <c r="K18" s="70" t="n"/>
      <c r="L18" s="70" t="n"/>
    </row>
    <row r="19">
      <c r="A19" s="114" t="n"/>
      <c r="B19" s="70" t="n"/>
      <c r="C19" s="70">
        <f>IFERROR(VLOOKUP(B19,Estoque!$A$2:$B$121,2,FALSE),"")</f>
        <v/>
      </c>
      <c r="D19" s="70" t="n"/>
      <c r="E19" s="115" t="n"/>
      <c r="F19" s="70" t="n"/>
      <c r="G19" s="116" t="n"/>
      <c r="H19" s="116">
        <f>IF(D19="Compra",E19*G19,"")</f>
        <v/>
      </c>
      <c r="I19" s="70" t="n"/>
      <c r="J19" s="89">
        <f>IF(B19="","",B19&amp;"|"&amp;D19)</f>
        <v/>
      </c>
      <c r="K19" s="70" t="n"/>
      <c r="L19" s="70" t="n"/>
    </row>
    <row r="20">
      <c r="A20" s="114" t="n"/>
      <c r="B20" s="70" t="n"/>
      <c r="C20" s="70">
        <f>IFERROR(VLOOKUP(B20,Estoque!$A$2:$B$121,2,FALSE),"")</f>
        <v/>
      </c>
      <c r="D20" s="70" t="n"/>
      <c r="E20" s="115" t="n"/>
      <c r="F20" s="70" t="n"/>
      <c r="G20" s="116" t="n"/>
      <c r="H20" s="116">
        <f>IF(D20="Compra",E20*G20,"")</f>
        <v/>
      </c>
      <c r="I20" s="70" t="n"/>
      <c r="J20" s="89">
        <f>IF(B20="","",B20&amp;"|"&amp;D20)</f>
        <v/>
      </c>
      <c r="K20" s="70" t="n"/>
      <c r="L20" s="70" t="n"/>
    </row>
    <row r="21">
      <c r="A21" s="114" t="n"/>
      <c r="B21" s="70" t="n"/>
      <c r="C21" s="70">
        <f>IFERROR(VLOOKUP(B21,Estoque!$A$2:$B$121,2,FALSE),"")</f>
        <v/>
      </c>
      <c r="D21" s="70" t="n"/>
      <c r="E21" s="115" t="n"/>
      <c r="F21" s="70" t="n"/>
      <c r="G21" s="116" t="n"/>
      <c r="H21" s="116">
        <f>IF(D21="Compra",E21*G21,"")</f>
        <v/>
      </c>
      <c r="I21" s="70" t="n"/>
      <c r="J21" s="89">
        <f>IF(B21="","",B21&amp;"|"&amp;D21)</f>
        <v/>
      </c>
      <c r="K21" s="70" t="n"/>
      <c r="L21" s="70" t="n"/>
    </row>
    <row r="22">
      <c r="A22" s="114" t="n"/>
      <c r="B22" s="70" t="n"/>
      <c r="C22" s="70">
        <f>IFERROR(VLOOKUP(B22,Estoque!$A$2:$B$121,2,FALSE),"")</f>
        <v/>
      </c>
      <c r="D22" s="70" t="n"/>
      <c r="E22" s="115" t="n"/>
      <c r="F22" s="70" t="n"/>
      <c r="G22" s="116" t="n"/>
      <c r="H22" s="116">
        <f>IF(D22="Compra",E22*G22,"")</f>
        <v/>
      </c>
      <c r="I22" s="70" t="n"/>
      <c r="J22" s="89">
        <f>IF(B22="","",B22&amp;"|"&amp;D22)</f>
        <v/>
      </c>
      <c r="K22" s="70" t="n"/>
      <c r="L22" s="70" t="n"/>
    </row>
    <row r="23">
      <c r="A23" s="114" t="n"/>
      <c r="B23" s="70" t="n"/>
      <c r="C23" s="70">
        <f>IFERROR(VLOOKUP(B23,Estoque!$A$2:$B$121,2,FALSE),"")</f>
        <v/>
      </c>
      <c r="D23" s="70" t="n"/>
      <c r="E23" s="115" t="n"/>
      <c r="F23" s="70" t="n"/>
      <c r="G23" s="116" t="n"/>
      <c r="H23" s="116">
        <f>IF(D23="Compra",E23*G23,"")</f>
        <v/>
      </c>
      <c r="I23" s="70" t="n"/>
      <c r="J23" s="89">
        <f>IF(B23="","",B23&amp;"|"&amp;D23)</f>
        <v/>
      </c>
      <c r="K23" s="70" t="n"/>
      <c r="L23" s="70" t="n"/>
    </row>
    <row r="24">
      <c r="A24" s="114" t="n"/>
      <c r="B24" s="70" t="n"/>
      <c r="C24" s="70">
        <f>IFERROR(VLOOKUP(B24,Estoque!$A$2:$B$121,2,FALSE),"")</f>
        <v/>
      </c>
      <c r="D24" s="70" t="n"/>
      <c r="E24" s="115" t="n"/>
      <c r="F24" s="70" t="n"/>
      <c r="G24" s="116" t="n"/>
      <c r="H24" s="116">
        <f>IF(D24="Compra",E24*G24,"")</f>
        <v/>
      </c>
      <c r="I24" s="70" t="n"/>
      <c r="J24" s="89">
        <f>IF(B24="","",B24&amp;"|"&amp;D24)</f>
        <v/>
      </c>
      <c r="K24" s="70" t="n"/>
      <c r="L24" s="70" t="n"/>
    </row>
    <row r="25">
      <c r="A25" s="114" t="n"/>
      <c r="B25" s="70" t="n"/>
      <c r="C25" s="70">
        <f>IFERROR(VLOOKUP(B25,Estoque!$A$2:$B$121,2,FALSE),"")</f>
        <v/>
      </c>
      <c r="D25" s="70" t="n"/>
      <c r="E25" s="115" t="n"/>
      <c r="F25" s="70" t="n"/>
      <c r="G25" s="116" t="n"/>
      <c r="H25" s="116">
        <f>IF(D25="Compra",E25*G25,"")</f>
        <v/>
      </c>
      <c r="I25" s="70" t="n"/>
      <c r="J25" s="89">
        <f>IF(B25="","",B25&amp;"|"&amp;D25)</f>
        <v/>
      </c>
      <c r="K25" s="70" t="n"/>
      <c r="L25" s="70" t="n"/>
    </row>
    <row r="26">
      <c r="A26" s="114" t="n"/>
      <c r="B26" s="70" t="n"/>
      <c r="C26" s="70">
        <f>IFERROR(VLOOKUP(B26,Estoque!$A$2:$B$121,2,FALSE),"")</f>
        <v/>
      </c>
      <c r="D26" s="70" t="n"/>
      <c r="E26" s="115" t="n"/>
      <c r="F26" s="70" t="n"/>
      <c r="G26" s="116" t="n"/>
      <c r="H26" s="116">
        <f>IF(D26="Compra",E26*G26,"")</f>
        <v/>
      </c>
      <c r="I26" s="70" t="n"/>
      <c r="J26" s="89">
        <f>IF(B26="","",B26&amp;"|"&amp;D26)</f>
        <v/>
      </c>
      <c r="K26" s="70" t="n"/>
      <c r="L26" s="70" t="n"/>
    </row>
    <row r="27">
      <c r="A27" s="114" t="n"/>
      <c r="B27" s="70" t="n"/>
      <c r="C27" s="70">
        <f>IFERROR(VLOOKUP(B27,Estoque!$A$2:$B$121,2,FALSE),"")</f>
        <v/>
      </c>
      <c r="D27" s="70" t="n"/>
      <c r="E27" s="115" t="n"/>
      <c r="F27" s="70" t="n"/>
      <c r="G27" s="116" t="n"/>
      <c r="H27" s="116">
        <f>IF(D27="Compra",E27*G27,"")</f>
        <v/>
      </c>
      <c r="I27" s="70" t="n"/>
      <c r="J27" s="89">
        <f>IF(B27="","",B27&amp;"|"&amp;D27)</f>
        <v/>
      </c>
      <c r="K27" s="70" t="n"/>
      <c r="L27" s="70" t="n"/>
    </row>
    <row r="28">
      <c r="A28" s="114" t="n"/>
      <c r="B28" s="70" t="n"/>
      <c r="C28" s="70">
        <f>IFERROR(VLOOKUP(B28,Estoque!$A$2:$B$121,2,FALSE),"")</f>
        <v/>
      </c>
      <c r="D28" s="70" t="n"/>
      <c r="E28" s="115" t="n"/>
      <c r="F28" s="70" t="n"/>
      <c r="G28" s="116" t="n"/>
      <c r="H28" s="116">
        <f>IF(D28="Compra",E28*G28,"")</f>
        <v/>
      </c>
      <c r="I28" s="70" t="n"/>
      <c r="J28" s="89">
        <f>IF(B28="","",B28&amp;"|"&amp;D28)</f>
        <v/>
      </c>
      <c r="K28" s="70" t="n"/>
      <c r="L28" s="70" t="n"/>
    </row>
    <row r="29">
      <c r="A29" s="114" t="n"/>
      <c r="B29" s="70" t="n"/>
      <c r="C29" s="70">
        <f>IFERROR(VLOOKUP(B29,Estoque!$A$2:$B$121,2,FALSE),"")</f>
        <v/>
      </c>
      <c r="D29" s="70" t="n"/>
      <c r="E29" s="115" t="n"/>
      <c r="F29" s="70" t="n"/>
      <c r="G29" s="116" t="n"/>
      <c r="H29" s="116">
        <f>IF(D29="Compra",E29*G29,"")</f>
        <v/>
      </c>
      <c r="I29" s="70" t="n"/>
      <c r="J29" s="89">
        <f>IF(B29="","",B29&amp;"|"&amp;D29)</f>
        <v/>
      </c>
      <c r="K29" s="70" t="n"/>
      <c r="L29" s="70" t="n"/>
    </row>
    <row r="30">
      <c r="A30" s="114" t="n"/>
      <c r="B30" s="70" t="n"/>
      <c r="C30" s="70">
        <f>IFERROR(VLOOKUP(B30,Estoque!$A$2:$B$121,2,FALSE),"")</f>
        <v/>
      </c>
      <c r="D30" s="70" t="n"/>
      <c r="E30" s="115" t="n"/>
      <c r="F30" s="70" t="n"/>
      <c r="G30" s="116" t="n"/>
      <c r="H30" s="116">
        <f>IF(D30="Compra",E30*G30,"")</f>
        <v/>
      </c>
      <c r="I30" s="70" t="n"/>
      <c r="J30" s="89">
        <f>IF(B30="","",B30&amp;"|"&amp;D30)</f>
        <v/>
      </c>
      <c r="K30" s="70" t="n"/>
      <c r="L30" s="70" t="n"/>
    </row>
    <row r="31">
      <c r="A31" s="114" t="n"/>
      <c r="B31" s="70" t="n"/>
      <c r="C31" s="70">
        <f>IFERROR(VLOOKUP(B31,Estoque!$A$2:$B$121,2,FALSE),"")</f>
        <v/>
      </c>
      <c r="D31" s="70" t="n"/>
      <c r="E31" s="115" t="n"/>
      <c r="F31" s="70" t="n"/>
      <c r="G31" s="116" t="n"/>
      <c r="H31" s="116">
        <f>IF(D31="Compra",E31*G31,"")</f>
        <v/>
      </c>
      <c r="I31" s="70" t="n"/>
      <c r="J31" s="89">
        <f>IF(B31="","",B31&amp;"|"&amp;D31)</f>
        <v/>
      </c>
      <c r="K31" s="70" t="n"/>
      <c r="L31" s="70" t="n"/>
    </row>
    <row r="32">
      <c r="A32" s="114" t="n"/>
      <c r="B32" s="70" t="n"/>
      <c r="C32" s="70">
        <f>IFERROR(VLOOKUP(B32,Estoque!$A$2:$B$121,2,FALSE),"")</f>
        <v/>
      </c>
      <c r="D32" s="70" t="n"/>
      <c r="E32" s="115" t="n"/>
      <c r="F32" s="70" t="n"/>
      <c r="G32" s="116" t="n"/>
      <c r="H32" s="116">
        <f>IF(D32="Compra",E32*G32,"")</f>
        <v/>
      </c>
      <c r="I32" s="70" t="n"/>
      <c r="J32" s="89">
        <f>IF(B32="","",B32&amp;"|"&amp;D32)</f>
        <v/>
      </c>
      <c r="K32" s="70" t="n"/>
      <c r="L32" s="70" t="n"/>
    </row>
    <row r="33">
      <c r="A33" s="114" t="n"/>
      <c r="B33" s="70" t="n"/>
      <c r="C33" s="70">
        <f>IFERROR(VLOOKUP(B33,Estoque!$A$2:$B$121,2,FALSE),"")</f>
        <v/>
      </c>
      <c r="D33" s="70" t="n"/>
      <c r="E33" s="115" t="n"/>
      <c r="F33" s="70" t="n"/>
      <c r="G33" s="116" t="n"/>
      <c r="H33" s="116">
        <f>IF(D33="Compra",E33*G33,"")</f>
        <v/>
      </c>
      <c r="I33" s="70" t="n"/>
      <c r="J33" s="89">
        <f>IF(B33="","",B33&amp;"|"&amp;D33)</f>
        <v/>
      </c>
      <c r="K33" s="70" t="n"/>
      <c r="L33" s="70" t="n"/>
    </row>
    <row r="34">
      <c r="A34" s="114" t="n"/>
      <c r="B34" s="70" t="n"/>
      <c r="C34" s="70">
        <f>IFERROR(VLOOKUP(B34,Estoque!$A$2:$B$121,2,FALSE),"")</f>
        <v/>
      </c>
      <c r="D34" s="70" t="n"/>
      <c r="E34" s="115" t="n"/>
      <c r="F34" s="70" t="n"/>
      <c r="G34" s="116" t="n"/>
      <c r="H34" s="116">
        <f>IF(D34="Compra",E34*G34,"")</f>
        <v/>
      </c>
      <c r="I34" s="70" t="n"/>
      <c r="J34" s="89">
        <f>IF(B34="","",B34&amp;"|"&amp;D34)</f>
        <v/>
      </c>
      <c r="K34" s="70" t="n"/>
      <c r="L34" s="70" t="n"/>
    </row>
    <row r="35">
      <c r="A35" s="114" t="n"/>
      <c r="B35" s="70" t="n"/>
      <c r="C35" s="70">
        <f>IFERROR(VLOOKUP(B35,Estoque!$A$2:$B$121,2,FALSE),"")</f>
        <v/>
      </c>
      <c r="D35" s="70" t="n"/>
      <c r="E35" s="115" t="n"/>
      <c r="F35" s="70" t="n"/>
      <c r="G35" s="116" t="n"/>
      <c r="H35" s="116">
        <f>IF(D35="Compra",E35*G35,"")</f>
        <v/>
      </c>
      <c r="I35" s="70" t="n"/>
      <c r="J35" s="89">
        <f>IF(B35="","",B35&amp;"|"&amp;D35)</f>
        <v/>
      </c>
      <c r="K35" s="70" t="n"/>
      <c r="L35" s="70" t="n"/>
    </row>
    <row r="36">
      <c r="A36" s="114" t="n"/>
      <c r="B36" s="70" t="n"/>
      <c r="C36" s="70">
        <f>IFERROR(VLOOKUP(B36,Estoque!$A$2:$B$121,2,FALSE),"")</f>
        <v/>
      </c>
      <c r="D36" s="70" t="n"/>
      <c r="E36" s="115" t="n"/>
      <c r="F36" s="70" t="n"/>
      <c r="G36" s="116" t="n"/>
      <c r="H36" s="116">
        <f>IF(D36="Compra",E36*G36,"")</f>
        <v/>
      </c>
      <c r="I36" s="70" t="n"/>
      <c r="J36" s="89">
        <f>IF(B36="","",B36&amp;"|"&amp;D36)</f>
        <v/>
      </c>
      <c r="K36" s="70" t="n"/>
      <c r="L36" s="70" t="n"/>
    </row>
    <row r="37">
      <c r="A37" s="114" t="n"/>
      <c r="B37" s="70" t="n"/>
      <c r="C37" s="70">
        <f>IFERROR(VLOOKUP(B37,Estoque!$A$2:$B$121,2,FALSE),"")</f>
        <v/>
      </c>
      <c r="D37" s="70" t="n"/>
      <c r="E37" s="115" t="n"/>
      <c r="F37" s="70" t="n"/>
      <c r="G37" s="116" t="n"/>
      <c r="H37" s="116">
        <f>IF(D37="Compra",E37*G37,"")</f>
        <v/>
      </c>
      <c r="I37" s="70" t="n"/>
      <c r="J37" s="89">
        <f>IF(B37="","",B37&amp;"|"&amp;D37)</f>
        <v/>
      </c>
      <c r="K37" s="70" t="n"/>
      <c r="L37" s="70" t="n"/>
    </row>
    <row r="38">
      <c r="A38" s="114" t="n"/>
      <c r="B38" s="70" t="n"/>
      <c r="C38" s="70">
        <f>IFERROR(VLOOKUP(B38,Estoque!$A$2:$B$121,2,FALSE),"")</f>
        <v/>
      </c>
      <c r="D38" s="70" t="n"/>
      <c r="E38" s="115" t="n"/>
      <c r="F38" s="70" t="n"/>
      <c r="G38" s="116" t="n"/>
      <c r="H38" s="116">
        <f>IF(D38="Compra",E38*G38,"")</f>
        <v/>
      </c>
      <c r="I38" s="70" t="n"/>
      <c r="J38" s="89">
        <f>IF(B38="","",B38&amp;"|"&amp;D38)</f>
        <v/>
      </c>
      <c r="K38" s="70" t="n"/>
      <c r="L38" s="70" t="n"/>
    </row>
    <row r="39">
      <c r="A39" s="114" t="n"/>
      <c r="B39" s="70" t="n"/>
      <c r="C39" s="70">
        <f>IFERROR(VLOOKUP(B39,Estoque!$A$2:$B$121,2,FALSE),"")</f>
        <v/>
      </c>
      <c r="D39" s="70" t="n"/>
      <c r="E39" s="115" t="n"/>
      <c r="F39" s="70" t="n"/>
      <c r="G39" s="116" t="n"/>
      <c r="H39" s="116">
        <f>IF(D39="Compra",E39*G39,"")</f>
        <v/>
      </c>
      <c r="I39" s="70" t="n"/>
      <c r="J39" s="89">
        <f>IF(B39="","",B39&amp;"|"&amp;D39)</f>
        <v/>
      </c>
      <c r="K39" s="70" t="n"/>
      <c r="L39" s="70" t="n"/>
    </row>
    <row r="40">
      <c r="A40" s="114" t="n"/>
      <c r="B40" s="70" t="n"/>
      <c r="C40" s="70">
        <f>IFERROR(VLOOKUP(B40,Estoque!$A$2:$B$121,2,FALSE),"")</f>
        <v/>
      </c>
      <c r="D40" s="70" t="n"/>
      <c r="E40" s="115" t="n"/>
      <c r="F40" s="70" t="n"/>
      <c r="G40" s="116" t="n"/>
      <c r="H40" s="116">
        <f>IF(D40="Compra",E40*G40,"")</f>
        <v/>
      </c>
      <c r="I40" s="70" t="n"/>
      <c r="J40" s="89">
        <f>IF(B40="","",B40&amp;"|"&amp;D40)</f>
        <v/>
      </c>
      <c r="K40" s="70" t="n"/>
      <c r="L40" s="70" t="n"/>
    </row>
    <row r="41">
      <c r="A41" s="114" t="n"/>
      <c r="B41" s="70" t="n"/>
      <c r="C41" s="70">
        <f>IFERROR(VLOOKUP(B41,Estoque!$A$2:$B$121,2,FALSE),"")</f>
        <v/>
      </c>
      <c r="D41" s="70" t="n"/>
      <c r="E41" s="115" t="n"/>
      <c r="F41" s="70" t="n"/>
      <c r="G41" s="116" t="n"/>
      <c r="H41" s="116">
        <f>IF(D41="Compra",E41*G41,"")</f>
        <v/>
      </c>
      <c r="I41" s="70" t="n"/>
      <c r="J41" s="89">
        <f>IF(B41="","",B41&amp;"|"&amp;D41)</f>
        <v/>
      </c>
      <c r="K41" s="70" t="n"/>
      <c r="L41" s="70" t="n"/>
    </row>
    <row r="42">
      <c r="A42" s="114" t="n"/>
      <c r="B42" s="70" t="n"/>
      <c r="C42" s="70">
        <f>IFERROR(VLOOKUP(B42,Estoque!$A$2:$B$121,2,FALSE),"")</f>
        <v/>
      </c>
      <c r="D42" s="70" t="n"/>
      <c r="E42" s="115" t="n"/>
      <c r="F42" s="70" t="n"/>
      <c r="G42" s="116" t="n"/>
      <c r="H42" s="116">
        <f>IF(D42="Compra",E42*G42,"")</f>
        <v/>
      </c>
      <c r="I42" s="70" t="n"/>
      <c r="J42" s="89">
        <f>IF(B42="","",B42&amp;"|"&amp;D42)</f>
        <v/>
      </c>
      <c r="K42" s="70" t="n"/>
      <c r="L42" s="70" t="n"/>
    </row>
    <row r="43">
      <c r="A43" s="114" t="n"/>
      <c r="B43" s="70" t="n"/>
      <c r="C43" s="70">
        <f>IFERROR(VLOOKUP(B43,Estoque!$A$2:$B$121,2,FALSE),"")</f>
        <v/>
      </c>
      <c r="D43" s="70" t="n"/>
      <c r="E43" s="115" t="n"/>
      <c r="F43" s="70" t="n"/>
      <c r="G43" s="116" t="n"/>
      <c r="H43" s="116">
        <f>IF(D43="Compra",E43*G43,"")</f>
        <v/>
      </c>
      <c r="I43" s="70" t="n"/>
      <c r="J43" s="89">
        <f>IF(B43="","",B43&amp;"|"&amp;D43)</f>
        <v/>
      </c>
      <c r="K43" s="70" t="n"/>
      <c r="L43" s="70" t="n"/>
    </row>
    <row r="44">
      <c r="A44" s="114" t="n"/>
      <c r="B44" s="70" t="n"/>
      <c r="C44" s="70">
        <f>IFERROR(VLOOKUP(B44,Estoque!$A$2:$B$121,2,FALSE),"")</f>
        <v/>
      </c>
      <c r="D44" s="70" t="n"/>
      <c r="E44" s="115" t="n"/>
      <c r="F44" s="70" t="n"/>
      <c r="G44" s="116" t="n"/>
      <c r="H44" s="116">
        <f>IF(D44="Compra",E44*G44,"")</f>
        <v/>
      </c>
      <c r="I44" s="70" t="n"/>
      <c r="J44" s="89">
        <f>IF(B44="","",B44&amp;"|"&amp;D44)</f>
        <v/>
      </c>
      <c r="K44" s="70" t="n"/>
      <c r="L44" s="70" t="n"/>
    </row>
    <row r="45">
      <c r="A45" s="114" t="n"/>
      <c r="B45" s="70" t="n"/>
      <c r="C45" s="70">
        <f>IFERROR(VLOOKUP(B45,Estoque!$A$2:$B$121,2,FALSE),"")</f>
        <v/>
      </c>
      <c r="D45" s="70" t="n"/>
      <c r="E45" s="115" t="n"/>
      <c r="F45" s="70" t="n"/>
      <c r="G45" s="116" t="n"/>
      <c r="H45" s="116">
        <f>IF(D45="Compra",E45*G45,"")</f>
        <v/>
      </c>
      <c r="I45" s="70" t="n"/>
      <c r="J45" s="89">
        <f>IF(B45="","",B45&amp;"|"&amp;D45)</f>
        <v/>
      </c>
      <c r="K45" s="70" t="n"/>
      <c r="L45" s="70" t="n"/>
    </row>
    <row r="46">
      <c r="A46" s="114" t="n"/>
      <c r="B46" s="70" t="n"/>
      <c r="C46" s="70">
        <f>IFERROR(VLOOKUP(B46,Estoque!$A$2:$B$121,2,FALSE),"")</f>
        <v/>
      </c>
      <c r="D46" s="70" t="n"/>
      <c r="E46" s="115" t="n"/>
      <c r="F46" s="70" t="n"/>
      <c r="G46" s="116" t="n"/>
      <c r="H46" s="116">
        <f>IF(D46="Compra",E46*G46,"")</f>
        <v/>
      </c>
      <c r="I46" s="70" t="n"/>
      <c r="J46" s="89">
        <f>IF(B46="","",B46&amp;"|"&amp;D46)</f>
        <v/>
      </c>
      <c r="K46" s="70" t="n"/>
      <c r="L46" s="70" t="n"/>
    </row>
    <row r="47">
      <c r="A47" s="114" t="n"/>
      <c r="B47" s="70" t="n"/>
      <c r="C47" s="70">
        <f>IFERROR(VLOOKUP(B47,Estoque!$A$2:$B$121,2,FALSE),"")</f>
        <v/>
      </c>
      <c r="D47" s="70" t="n"/>
      <c r="E47" s="115" t="n"/>
      <c r="F47" s="70" t="n"/>
      <c r="G47" s="116" t="n"/>
      <c r="H47" s="116">
        <f>IF(D47="Compra",E47*G47,"")</f>
        <v/>
      </c>
      <c r="I47" s="70" t="n"/>
      <c r="J47" s="89">
        <f>IF(B47="","",B47&amp;"|"&amp;D47)</f>
        <v/>
      </c>
      <c r="K47" s="70" t="n"/>
      <c r="L47" s="70" t="n"/>
    </row>
    <row r="48">
      <c r="A48" s="114" t="n"/>
      <c r="B48" s="70" t="n"/>
      <c r="C48" s="70">
        <f>IFERROR(VLOOKUP(B48,Estoque!$A$2:$B$121,2,FALSE),"")</f>
        <v/>
      </c>
      <c r="D48" s="70" t="n"/>
      <c r="E48" s="115" t="n"/>
      <c r="F48" s="70" t="n"/>
      <c r="G48" s="116" t="n"/>
      <c r="H48" s="116">
        <f>IF(D48="Compra",E48*G48,"")</f>
        <v/>
      </c>
      <c r="I48" s="70" t="n"/>
      <c r="J48" s="89">
        <f>IF(B48="","",B48&amp;"|"&amp;D48)</f>
        <v/>
      </c>
      <c r="K48" s="70" t="n"/>
      <c r="L48" s="70" t="n"/>
    </row>
    <row r="49">
      <c r="A49" s="114" t="n"/>
      <c r="B49" s="70" t="n"/>
      <c r="C49" s="70">
        <f>IFERROR(VLOOKUP(B49,Estoque!$A$2:$B$121,2,FALSE),"")</f>
        <v/>
      </c>
      <c r="D49" s="70" t="n"/>
      <c r="E49" s="115" t="n"/>
      <c r="F49" s="70" t="n"/>
      <c r="G49" s="116" t="n"/>
      <c r="H49" s="116">
        <f>IF(D49="Compra",E49*G49,"")</f>
        <v/>
      </c>
      <c r="I49" s="70" t="n"/>
      <c r="J49" s="89">
        <f>IF(B49="","",B49&amp;"|"&amp;D49)</f>
        <v/>
      </c>
      <c r="K49" s="70" t="n"/>
      <c r="L49" s="70" t="n"/>
    </row>
    <row r="50">
      <c r="A50" s="114" t="n"/>
      <c r="B50" s="70" t="n"/>
      <c r="C50" s="70">
        <f>IFERROR(VLOOKUP(B50,Estoque!$A$2:$B$121,2,FALSE),"")</f>
        <v/>
      </c>
      <c r="D50" s="70" t="n"/>
      <c r="E50" s="115" t="n"/>
      <c r="F50" s="70" t="n"/>
      <c r="G50" s="116" t="n"/>
      <c r="H50" s="116">
        <f>IF(D50="Compra",E50*G50,"")</f>
        <v/>
      </c>
      <c r="I50" s="70" t="n"/>
      <c r="J50" s="89">
        <f>IF(B50="","",B50&amp;"|"&amp;D50)</f>
        <v/>
      </c>
      <c r="K50" s="70" t="n"/>
      <c r="L50" s="70" t="n"/>
    </row>
    <row r="51">
      <c r="A51" s="114" t="n"/>
      <c r="B51" s="70" t="n"/>
      <c r="C51" s="70">
        <f>IFERROR(VLOOKUP(B51,Estoque!$A$2:$B$121,2,FALSE),"")</f>
        <v/>
      </c>
      <c r="D51" s="70" t="n"/>
      <c r="E51" s="115" t="n"/>
      <c r="F51" s="70" t="n"/>
      <c r="G51" s="116" t="n"/>
      <c r="H51" s="116">
        <f>IF(D51="Compra",E51*G51,"")</f>
        <v/>
      </c>
      <c r="I51" s="70" t="n"/>
      <c r="J51" s="89">
        <f>IF(B51="","",B51&amp;"|"&amp;D51)</f>
        <v/>
      </c>
      <c r="K51" s="70" t="n"/>
      <c r="L51" s="70" t="n"/>
    </row>
    <row r="52">
      <c r="A52" s="114" t="n"/>
      <c r="B52" s="70" t="n"/>
      <c r="C52" s="70">
        <f>IFERROR(VLOOKUP(B52,Estoque!$A$2:$B$121,2,FALSE),"")</f>
        <v/>
      </c>
      <c r="D52" s="70" t="n"/>
      <c r="E52" s="115" t="n"/>
      <c r="F52" s="70" t="n"/>
      <c r="G52" s="116" t="n"/>
      <c r="H52" s="116">
        <f>IF(D52="Compra",E52*G52,"")</f>
        <v/>
      </c>
      <c r="I52" s="70" t="n"/>
      <c r="J52" s="89">
        <f>IF(B52="","",B52&amp;"|"&amp;D52)</f>
        <v/>
      </c>
      <c r="K52" s="70" t="n"/>
      <c r="L52" s="70" t="n"/>
    </row>
    <row r="53">
      <c r="A53" s="114" t="n"/>
      <c r="B53" s="70" t="n"/>
      <c r="C53" s="70">
        <f>IFERROR(VLOOKUP(B53,Estoque!$A$2:$B$121,2,FALSE),"")</f>
        <v/>
      </c>
      <c r="D53" s="70" t="n"/>
      <c r="E53" s="115" t="n"/>
      <c r="F53" s="70" t="n"/>
      <c r="G53" s="116" t="n"/>
      <c r="H53" s="116">
        <f>IF(D53="Compra",E53*G53,"")</f>
        <v/>
      </c>
      <c r="I53" s="70" t="n"/>
      <c r="J53" s="89">
        <f>IF(B53="","",B53&amp;"|"&amp;D53)</f>
        <v/>
      </c>
      <c r="K53" s="70" t="n"/>
      <c r="L53" s="70" t="n"/>
    </row>
    <row r="54">
      <c r="A54" s="114" t="n"/>
      <c r="B54" s="70" t="n"/>
      <c r="C54" s="70">
        <f>IFERROR(VLOOKUP(B54,Estoque!$A$2:$B$121,2,FALSE),"")</f>
        <v/>
      </c>
      <c r="D54" s="70" t="n"/>
      <c r="E54" s="115" t="n"/>
      <c r="F54" s="70" t="n"/>
      <c r="G54" s="116" t="n"/>
      <c r="H54" s="116">
        <f>IF(D54="Compra",E54*G54,"")</f>
        <v/>
      </c>
      <c r="I54" s="70" t="n"/>
      <c r="J54" s="89">
        <f>IF(B54="","",B54&amp;"|"&amp;D54)</f>
        <v/>
      </c>
      <c r="K54" s="70" t="n"/>
      <c r="L54" s="70" t="n"/>
    </row>
    <row r="55">
      <c r="A55" s="114" t="n"/>
      <c r="B55" s="70" t="n"/>
      <c r="C55" s="70">
        <f>IFERROR(VLOOKUP(B55,Estoque!$A$2:$B$121,2,FALSE),"")</f>
        <v/>
      </c>
      <c r="D55" s="70" t="n"/>
      <c r="E55" s="115" t="n"/>
      <c r="F55" s="70" t="n"/>
      <c r="G55" s="116" t="n"/>
      <c r="H55" s="116">
        <f>IF(D55="Compra",E55*G55,"")</f>
        <v/>
      </c>
      <c r="I55" s="70" t="n"/>
      <c r="J55" s="89">
        <f>IF(B55="","",B55&amp;"|"&amp;D55)</f>
        <v/>
      </c>
      <c r="K55" s="70" t="n"/>
      <c r="L55" s="70" t="n"/>
    </row>
    <row r="56">
      <c r="A56" s="114" t="n"/>
      <c r="B56" s="70" t="n"/>
      <c r="C56" s="70">
        <f>IFERROR(VLOOKUP(B56,Estoque!$A$2:$B$121,2,FALSE),"")</f>
        <v/>
      </c>
      <c r="D56" s="70" t="n"/>
      <c r="E56" s="115" t="n"/>
      <c r="F56" s="70" t="n"/>
      <c r="G56" s="116" t="n"/>
      <c r="H56" s="116">
        <f>IF(D56="Compra",E56*G56,"")</f>
        <v/>
      </c>
      <c r="I56" s="70" t="n"/>
      <c r="J56" s="89">
        <f>IF(B56="","",B56&amp;"|"&amp;D56)</f>
        <v/>
      </c>
      <c r="K56" s="70" t="n"/>
      <c r="L56" s="70" t="n"/>
    </row>
    <row r="57">
      <c r="A57" s="114" t="n"/>
      <c r="B57" s="70" t="n"/>
      <c r="C57" s="70">
        <f>IFERROR(VLOOKUP(B57,Estoque!$A$2:$B$121,2,FALSE),"")</f>
        <v/>
      </c>
      <c r="D57" s="70" t="n"/>
      <c r="E57" s="115" t="n"/>
      <c r="F57" s="70" t="n"/>
      <c r="G57" s="116" t="n"/>
      <c r="H57" s="116">
        <f>IF(D57="Compra",E57*G57,"")</f>
        <v/>
      </c>
      <c r="I57" s="70" t="n"/>
      <c r="J57" s="89">
        <f>IF(B57="","",B57&amp;"|"&amp;D57)</f>
        <v/>
      </c>
      <c r="K57" s="70" t="n"/>
      <c r="L57" s="70" t="n"/>
    </row>
    <row r="58">
      <c r="A58" s="114" t="n"/>
      <c r="B58" s="70" t="n"/>
      <c r="C58" s="70">
        <f>IFERROR(VLOOKUP(B58,Estoque!$A$2:$B$121,2,FALSE),"")</f>
        <v/>
      </c>
      <c r="D58" s="70" t="n"/>
      <c r="E58" s="115" t="n"/>
      <c r="F58" s="70" t="n"/>
      <c r="G58" s="116" t="n"/>
      <c r="H58" s="116">
        <f>IF(D58="Compra",E58*G58,"")</f>
        <v/>
      </c>
      <c r="I58" s="70" t="n"/>
      <c r="J58" s="89">
        <f>IF(B58="","",B58&amp;"|"&amp;D58)</f>
        <v/>
      </c>
      <c r="K58" s="70" t="n"/>
      <c r="L58" s="70" t="n"/>
    </row>
    <row r="59">
      <c r="A59" s="114" t="n"/>
      <c r="B59" s="70" t="n"/>
      <c r="C59" s="70">
        <f>IFERROR(VLOOKUP(B59,Estoque!$A$2:$B$121,2,FALSE),"")</f>
        <v/>
      </c>
      <c r="D59" s="70" t="n"/>
      <c r="E59" s="115" t="n"/>
      <c r="F59" s="70" t="n"/>
      <c r="G59" s="116" t="n"/>
      <c r="H59" s="116">
        <f>IF(D59="Compra",E59*G59,"")</f>
        <v/>
      </c>
      <c r="I59" s="70" t="n"/>
      <c r="J59" s="89">
        <f>IF(B59="","",B59&amp;"|"&amp;D59)</f>
        <v/>
      </c>
      <c r="K59" s="70" t="n"/>
      <c r="L59" s="70" t="n"/>
    </row>
    <row r="60">
      <c r="A60" s="114" t="n"/>
      <c r="B60" s="70" t="n"/>
      <c r="C60" s="70">
        <f>IFERROR(VLOOKUP(B60,Estoque!$A$2:$B$121,2,FALSE),"")</f>
        <v/>
      </c>
      <c r="D60" s="70" t="n"/>
      <c r="E60" s="115" t="n"/>
      <c r="F60" s="70" t="n"/>
      <c r="G60" s="116" t="n"/>
      <c r="H60" s="116">
        <f>IF(D60="Compra",E60*G60,"")</f>
        <v/>
      </c>
      <c r="I60" s="70" t="n"/>
      <c r="J60" s="89">
        <f>IF(B60="","",B60&amp;"|"&amp;D60)</f>
        <v/>
      </c>
      <c r="K60" s="70" t="n"/>
      <c r="L60" s="70" t="n"/>
    </row>
    <row r="61">
      <c r="A61" s="114" t="n"/>
      <c r="B61" s="70" t="n"/>
      <c r="C61" s="70">
        <f>IFERROR(VLOOKUP(B61,Estoque!$A$2:$B$121,2,FALSE),"")</f>
        <v/>
      </c>
      <c r="D61" s="70" t="n"/>
      <c r="E61" s="115" t="n"/>
      <c r="F61" s="70" t="n"/>
      <c r="G61" s="116" t="n"/>
      <c r="H61" s="116">
        <f>IF(D61="Compra",E61*G61,"")</f>
        <v/>
      </c>
      <c r="I61" s="70" t="n"/>
      <c r="J61" s="89">
        <f>IF(B61="","",B61&amp;"|"&amp;D61)</f>
        <v/>
      </c>
      <c r="K61" s="70" t="n"/>
      <c r="L61" s="70" t="n"/>
    </row>
    <row r="62">
      <c r="A62" s="114" t="n"/>
      <c r="B62" s="70" t="n"/>
      <c r="C62" s="70">
        <f>IFERROR(VLOOKUP(B62,Estoque!$A$2:$B$121,2,FALSE),"")</f>
        <v/>
      </c>
      <c r="D62" s="70" t="n"/>
      <c r="E62" s="115" t="n"/>
      <c r="F62" s="70" t="n"/>
      <c r="G62" s="116" t="n"/>
      <c r="H62" s="116">
        <f>IF(D62="Compra",E62*G62,"")</f>
        <v/>
      </c>
      <c r="I62" s="70" t="n"/>
      <c r="J62" s="89">
        <f>IF(B62="","",B62&amp;"|"&amp;D62)</f>
        <v/>
      </c>
      <c r="K62" s="70" t="n"/>
      <c r="L62" s="70" t="n"/>
    </row>
    <row r="63">
      <c r="A63" s="114" t="n"/>
      <c r="B63" s="70" t="n"/>
      <c r="C63" s="70">
        <f>IFERROR(VLOOKUP(B63,Estoque!$A$2:$B$121,2,FALSE),"")</f>
        <v/>
      </c>
      <c r="D63" s="70" t="n"/>
      <c r="E63" s="115" t="n"/>
      <c r="F63" s="70" t="n"/>
      <c r="G63" s="116" t="n"/>
      <c r="H63" s="116">
        <f>IF(D63="Compra",E63*G63,"")</f>
        <v/>
      </c>
      <c r="I63" s="70" t="n"/>
      <c r="J63" s="89">
        <f>IF(B63="","",B63&amp;"|"&amp;D63)</f>
        <v/>
      </c>
      <c r="K63" s="70" t="n"/>
      <c r="L63" s="70" t="n"/>
    </row>
    <row r="64">
      <c r="A64" s="114" t="n"/>
      <c r="B64" s="70" t="n"/>
      <c r="C64" s="70">
        <f>IFERROR(VLOOKUP(B64,Estoque!$A$2:$B$121,2,FALSE),"")</f>
        <v/>
      </c>
      <c r="D64" s="70" t="n"/>
      <c r="E64" s="115" t="n"/>
      <c r="F64" s="70" t="n"/>
      <c r="G64" s="116" t="n"/>
      <c r="H64" s="116">
        <f>IF(D64="Compra",E64*G64,"")</f>
        <v/>
      </c>
      <c r="I64" s="70" t="n"/>
      <c r="J64" s="89">
        <f>IF(B64="","",B64&amp;"|"&amp;D64)</f>
        <v/>
      </c>
      <c r="K64" s="70" t="n"/>
      <c r="L64" s="70" t="n"/>
    </row>
    <row r="65">
      <c r="A65" s="114" t="n"/>
      <c r="B65" s="70" t="n"/>
      <c r="C65" s="70">
        <f>IFERROR(VLOOKUP(B65,Estoque!$A$2:$B$121,2,FALSE),"")</f>
        <v/>
      </c>
      <c r="D65" s="70" t="n"/>
      <c r="E65" s="115" t="n"/>
      <c r="F65" s="70" t="n"/>
      <c r="G65" s="116" t="n"/>
      <c r="H65" s="116">
        <f>IF(D65="Compra",E65*G65,"")</f>
        <v/>
      </c>
      <c r="I65" s="70" t="n"/>
      <c r="J65" s="89">
        <f>IF(B65="","",B65&amp;"|"&amp;D65)</f>
        <v/>
      </c>
      <c r="K65" s="70" t="n"/>
      <c r="L65" s="70" t="n"/>
    </row>
    <row r="66">
      <c r="A66" s="114" t="n"/>
      <c r="B66" s="70" t="n"/>
      <c r="C66" s="70">
        <f>IFERROR(VLOOKUP(B66,Estoque!$A$2:$B$121,2,FALSE),"")</f>
        <v/>
      </c>
      <c r="D66" s="70" t="n"/>
      <c r="E66" s="115" t="n"/>
      <c r="F66" s="70" t="n"/>
      <c r="G66" s="116" t="n"/>
      <c r="H66" s="116">
        <f>IF(D66="Compra",E66*G66,"")</f>
        <v/>
      </c>
      <c r="I66" s="70" t="n"/>
      <c r="J66" s="89">
        <f>IF(B66="","",B66&amp;"|"&amp;D66)</f>
        <v/>
      </c>
      <c r="K66" s="70" t="n"/>
      <c r="L66" s="70" t="n"/>
    </row>
    <row r="67">
      <c r="A67" s="114" t="n"/>
      <c r="B67" s="70" t="n"/>
      <c r="C67" s="70">
        <f>IFERROR(VLOOKUP(B67,Estoque!$A$2:$B$121,2,FALSE),"")</f>
        <v/>
      </c>
      <c r="D67" s="70" t="n"/>
      <c r="E67" s="115" t="n"/>
      <c r="F67" s="70" t="n"/>
      <c r="G67" s="116" t="n"/>
      <c r="H67" s="116">
        <f>IF(D67="Compra",E67*G67,"")</f>
        <v/>
      </c>
      <c r="I67" s="70" t="n"/>
      <c r="J67" s="89">
        <f>IF(B67="","",B67&amp;"|"&amp;D67)</f>
        <v/>
      </c>
      <c r="K67" s="70" t="n"/>
      <c r="L67" s="70" t="n"/>
    </row>
    <row r="68">
      <c r="A68" s="114" t="n"/>
      <c r="B68" s="70" t="n"/>
      <c r="C68" s="70">
        <f>IFERROR(VLOOKUP(B68,Estoque!$A$2:$B$121,2,FALSE),"")</f>
        <v/>
      </c>
      <c r="D68" s="70" t="n"/>
      <c r="E68" s="115" t="n"/>
      <c r="F68" s="70" t="n"/>
      <c r="G68" s="116" t="n"/>
      <c r="H68" s="116">
        <f>IF(D68="Compra",E68*G68,"")</f>
        <v/>
      </c>
      <c r="I68" s="70" t="n"/>
      <c r="J68" s="89">
        <f>IF(B68="","",B68&amp;"|"&amp;D68)</f>
        <v/>
      </c>
      <c r="K68" s="70" t="n"/>
      <c r="L68" s="70" t="n"/>
    </row>
    <row r="69">
      <c r="A69" s="114" t="n"/>
      <c r="B69" s="70" t="n"/>
      <c r="C69" s="70">
        <f>IFERROR(VLOOKUP(B69,Estoque!$A$2:$B$121,2,FALSE),"")</f>
        <v/>
      </c>
      <c r="D69" s="70" t="n"/>
      <c r="E69" s="115" t="n"/>
      <c r="F69" s="70" t="n"/>
      <c r="G69" s="116" t="n"/>
      <c r="H69" s="116">
        <f>IF(D69="Compra",E69*G69,"")</f>
        <v/>
      </c>
      <c r="I69" s="70" t="n"/>
      <c r="J69" s="89">
        <f>IF(B69="","",B69&amp;"|"&amp;D69)</f>
        <v/>
      </c>
      <c r="K69" s="70" t="n"/>
      <c r="L69" s="70" t="n"/>
    </row>
    <row r="70">
      <c r="A70" s="114" t="n"/>
      <c r="B70" s="70" t="n"/>
      <c r="C70" s="70">
        <f>IFERROR(VLOOKUP(B70,Estoque!$A$2:$B$121,2,FALSE),"")</f>
        <v/>
      </c>
      <c r="D70" s="70" t="n"/>
      <c r="E70" s="115" t="n"/>
      <c r="F70" s="70" t="n"/>
      <c r="G70" s="116" t="n"/>
      <c r="H70" s="116">
        <f>IF(D70="Compra",E70*G70,"")</f>
        <v/>
      </c>
      <c r="I70" s="70" t="n"/>
      <c r="J70" s="89">
        <f>IF(B70="","",B70&amp;"|"&amp;D70)</f>
        <v/>
      </c>
      <c r="K70" s="70" t="n"/>
      <c r="L70" s="70" t="n"/>
    </row>
    <row r="71">
      <c r="A71" s="114" t="n"/>
      <c r="B71" s="70" t="n"/>
      <c r="C71" s="70">
        <f>IFERROR(VLOOKUP(B71,Estoque!$A$2:$B$121,2,FALSE),"")</f>
        <v/>
      </c>
      <c r="D71" s="70" t="n"/>
      <c r="E71" s="115" t="n"/>
      <c r="F71" s="70" t="n"/>
      <c r="G71" s="116" t="n"/>
      <c r="H71" s="116">
        <f>IF(D71="Compra",E71*G71,"")</f>
        <v/>
      </c>
      <c r="I71" s="70" t="n"/>
      <c r="J71" s="89">
        <f>IF(B71="","",B71&amp;"|"&amp;D71)</f>
        <v/>
      </c>
      <c r="K71" s="70" t="n"/>
      <c r="L71" s="70" t="n"/>
    </row>
    <row r="72">
      <c r="A72" s="114" t="n"/>
      <c r="B72" s="70" t="n"/>
      <c r="C72" s="70">
        <f>IFERROR(VLOOKUP(B72,Estoque!$A$2:$B$121,2,FALSE),"")</f>
        <v/>
      </c>
      <c r="D72" s="70" t="n"/>
      <c r="E72" s="115" t="n"/>
      <c r="F72" s="70" t="n"/>
      <c r="G72" s="116" t="n"/>
      <c r="H72" s="116">
        <f>IF(D72="Compra",E72*G72,"")</f>
        <v/>
      </c>
      <c r="I72" s="70" t="n"/>
      <c r="J72" s="89">
        <f>IF(B72="","",B72&amp;"|"&amp;D72)</f>
        <v/>
      </c>
      <c r="K72" s="70" t="n"/>
      <c r="L72" s="70" t="n"/>
    </row>
    <row r="73">
      <c r="A73" s="114" t="n"/>
      <c r="B73" s="70" t="n"/>
      <c r="C73" s="70">
        <f>IFERROR(VLOOKUP(B73,Estoque!$A$2:$B$121,2,FALSE),"")</f>
        <v/>
      </c>
      <c r="D73" s="70" t="n"/>
      <c r="E73" s="115" t="n"/>
      <c r="F73" s="70" t="n"/>
      <c r="G73" s="116" t="n"/>
      <c r="H73" s="116">
        <f>IF(D73="Compra",E73*G73,"")</f>
        <v/>
      </c>
      <c r="I73" s="70" t="n"/>
      <c r="J73" s="89">
        <f>IF(B73="","",B73&amp;"|"&amp;D73)</f>
        <v/>
      </c>
      <c r="K73" s="70" t="n"/>
      <c r="L73" s="70" t="n"/>
    </row>
    <row r="74">
      <c r="A74" s="114" t="n"/>
      <c r="B74" s="70" t="n"/>
      <c r="C74" s="70">
        <f>IFERROR(VLOOKUP(B74,Estoque!$A$2:$B$121,2,FALSE),"")</f>
        <v/>
      </c>
      <c r="D74" s="70" t="n"/>
      <c r="E74" s="115" t="n"/>
      <c r="F74" s="70" t="n"/>
      <c r="G74" s="116" t="n"/>
      <c r="H74" s="116">
        <f>IF(D74="Compra",E74*G74,"")</f>
        <v/>
      </c>
      <c r="I74" s="70" t="n"/>
      <c r="J74" s="89">
        <f>IF(B74="","",B74&amp;"|"&amp;D74)</f>
        <v/>
      </c>
      <c r="K74" s="70" t="n"/>
      <c r="L74" s="70" t="n"/>
    </row>
    <row r="75">
      <c r="A75" s="114" t="n"/>
      <c r="B75" s="70" t="n"/>
      <c r="C75" s="70">
        <f>IFERROR(VLOOKUP(B75,Estoque!$A$2:$B$121,2,FALSE),"")</f>
        <v/>
      </c>
      <c r="D75" s="70" t="n"/>
      <c r="E75" s="115" t="n"/>
      <c r="F75" s="70" t="n"/>
      <c r="G75" s="116" t="n"/>
      <c r="H75" s="116">
        <f>IF(D75="Compra",E75*G75,"")</f>
        <v/>
      </c>
      <c r="I75" s="70" t="n"/>
      <c r="J75" s="89">
        <f>IF(B75="","",B75&amp;"|"&amp;D75)</f>
        <v/>
      </c>
      <c r="K75" s="70" t="n"/>
      <c r="L75" s="70" t="n"/>
    </row>
    <row r="76">
      <c r="A76" s="114" t="n"/>
      <c r="B76" s="70" t="n"/>
      <c r="C76" s="70">
        <f>IFERROR(VLOOKUP(B76,Estoque!$A$2:$B$121,2,FALSE),"")</f>
        <v/>
      </c>
      <c r="D76" s="70" t="n"/>
      <c r="E76" s="115" t="n"/>
      <c r="F76" s="70" t="n"/>
      <c r="G76" s="116" t="n"/>
      <c r="H76" s="116">
        <f>IF(D76="Compra",E76*G76,"")</f>
        <v/>
      </c>
      <c r="I76" s="70" t="n"/>
      <c r="J76" s="89">
        <f>IF(B76="","",B76&amp;"|"&amp;D76)</f>
        <v/>
      </c>
      <c r="K76" s="70" t="n"/>
      <c r="L76" s="70" t="n"/>
    </row>
    <row r="77">
      <c r="A77" s="114" t="n"/>
      <c r="B77" s="70" t="n"/>
      <c r="C77" s="70">
        <f>IFERROR(VLOOKUP(B77,Estoque!$A$2:$B$121,2,FALSE),"")</f>
        <v/>
      </c>
      <c r="D77" s="70" t="n"/>
      <c r="E77" s="115" t="n"/>
      <c r="F77" s="70" t="n"/>
      <c r="G77" s="116" t="n"/>
      <c r="H77" s="116">
        <f>IF(D77="Compra",E77*G77,"")</f>
        <v/>
      </c>
      <c r="I77" s="70" t="n"/>
      <c r="J77" s="89">
        <f>IF(B77="","",B77&amp;"|"&amp;D77)</f>
        <v/>
      </c>
      <c r="K77" s="70" t="n"/>
      <c r="L77" s="70" t="n"/>
    </row>
    <row r="78">
      <c r="A78" s="114" t="n"/>
      <c r="B78" s="70" t="n"/>
      <c r="C78" s="70">
        <f>IFERROR(VLOOKUP(B78,Estoque!$A$2:$B$121,2,FALSE),"")</f>
        <v/>
      </c>
      <c r="D78" s="70" t="n"/>
      <c r="E78" s="115" t="n"/>
      <c r="F78" s="70" t="n"/>
      <c r="G78" s="116" t="n"/>
      <c r="H78" s="116">
        <f>IF(D78="Compra",E78*G78,"")</f>
        <v/>
      </c>
      <c r="I78" s="70" t="n"/>
      <c r="J78" s="89">
        <f>IF(B78="","",B78&amp;"|"&amp;D78)</f>
        <v/>
      </c>
      <c r="K78" s="70" t="n"/>
      <c r="L78" s="70" t="n"/>
    </row>
    <row r="79">
      <c r="A79" s="114" t="n"/>
      <c r="B79" s="70" t="n"/>
      <c r="C79" s="70">
        <f>IFERROR(VLOOKUP(B79,Estoque!$A$2:$B$121,2,FALSE),"")</f>
        <v/>
      </c>
      <c r="D79" s="70" t="n"/>
      <c r="E79" s="115" t="n"/>
      <c r="F79" s="70" t="n"/>
      <c r="G79" s="116" t="n"/>
      <c r="H79" s="116">
        <f>IF(D79="Compra",E79*G79,"")</f>
        <v/>
      </c>
      <c r="I79" s="70" t="n"/>
      <c r="J79" s="89">
        <f>IF(B79="","",B79&amp;"|"&amp;D79)</f>
        <v/>
      </c>
      <c r="K79" s="70" t="n"/>
      <c r="L79" s="70" t="n"/>
    </row>
    <row r="80">
      <c r="A80" s="114" t="n"/>
      <c r="B80" s="70" t="n"/>
      <c r="C80" s="70">
        <f>IFERROR(VLOOKUP(B80,Estoque!$A$2:$B$121,2,FALSE),"")</f>
        <v/>
      </c>
      <c r="D80" s="70" t="n"/>
      <c r="E80" s="115" t="n"/>
      <c r="F80" s="70" t="n"/>
      <c r="G80" s="116" t="n"/>
      <c r="H80" s="116">
        <f>IF(D80="Compra",E80*G80,"")</f>
        <v/>
      </c>
      <c r="I80" s="70" t="n"/>
      <c r="J80" s="89">
        <f>IF(B80="","",B80&amp;"|"&amp;D80)</f>
        <v/>
      </c>
      <c r="K80" s="70" t="n"/>
      <c r="L80" s="70" t="n"/>
    </row>
    <row r="81">
      <c r="A81" s="114" t="n"/>
      <c r="B81" s="70" t="n"/>
      <c r="C81" s="70">
        <f>IFERROR(VLOOKUP(B81,Estoque!$A$2:$B$121,2,FALSE),"")</f>
        <v/>
      </c>
      <c r="D81" s="70" t="n"/>
      <c r="E81" s="115" t="n"/>
      <c r="F81" s="70" t="n"/>
      <c r="G81" s="116" t="n"/>
      <c r="H81" s="116">
        <f>IF(D81="Compra",E81*G81,"")</f>
        <v/>
      </c>
      <c r="I81" s="70" t="n"/>
      <c r="J81" s="89">
        <f>IF(B81="","",B81&amp;"|"&amp;D81)</f>
        <v/>
      </c>
      <c r="K81" s="70" t="n"/>
      <c r="L81" s="70" t="n"/>
    </row>
    <row r="82">
      <c r="A82" s="114" t="n"/>
      <c r="B82" s="70" t="n"/>
      <c r="C82" s="70">
        <f>IFERROR(VLOOKUP(B82,Estoque!$A$2:$B$121,2,FALSE),"")</f>
        <v/>
      </c>
      <c r="D82" s="70" t="n"/>
      <c r="E82" s="115" t="n"/>
      <c r="F82" s="70" t="n"/>
      <c r="G82" s="116" t="n"/>
      <c r="H82" s="116">
        <f>IF(D82="Compra",E82*G82,"")</f>
        <v/>
      </c>
      <c r="I82" s="70" t="n"/>
      <c r="J82" s="89">
        <f>IF(B82="","",B82&amp;"|"&amp;D82)</f>
        <v/>
      </c>
      <c r="K82" s="70" t="n"/>
      <c r="L82" s="70" t="n"/>
    </row>
    <row r="83">
      <c r="A83" s="114" t="n"/>
      <c r="B83" s="70" t="n"/>
      <c r="C83" s="70">
        <f>IFERROR(VLOOKUP(B83,Estoque!$A$2:$B$121,2,FALSE),"")</f>
        <v/>
      </c>
      <c r="D83" s="70" t="n"/>
      <c r="E83" s="115" t="n"/>
      <c r="F83" s="70" t="n"/>
      <c r="G83" s="116" t="n"/>
      <c r="H83" s="116">
        <f>IF(D83="Compra",E83*G83,"")</f>
        <v/>
      </c>
      <c r="I83" s="70" t="n"/>
      <c r="J83" s="89">
        <f>IF(B83="","",B83&amp;"|"&amp;D83)</f>
        <v/>
      </c>
      <c r="K83" s="70" t="n"/>
      <c r="L83" s="70" t="n"/>
    </row>
    <row r="84">
      <c r="A84" s="114" t="n"/>
      <c r="B84" s="70" t="n"/>
      <c r="C84" s="70">
        <f>IFERROR(VLOOKUP(B84,Estoque!$A$2:$B$121,2,FALSE),"")</f>
        <v/>
      </c>
      <c r="D84" s="70" t="n"/>
      <c r="E84" s="115" t="n"/>
      <c r="F84" s="70" t="n"/>
      <c r="G84" s="116" t="n"/>
      <c r="H84" s="116">
        <f>IF(D84="Compra",E84*G84,"")</f>
        <v/>
      </c>
      <c r="I84" s="70" t="n"/>
      <c r="J84" s="89">
        <f>IF(B84="","",B84&amp;"|"&amp;D84)</f>
        <v/>
      </c>
      <c r="K84" s="70" t="n"/>
      <c r="L84" s="70" t="n"/>
    </row>
    <row r="85">
      <c r="A85" s="114" t="n"/>
      <c r="B85" s="70" t="n"/>
      <c r="C85" s="70">
        <f>IFERROR(VLOOKUP(B85,Estoque!$A$2:$B$121,2,FALSE),"")</f>
        <v/>
      </c>
      <c r="D85" s="70" t="n"/>
      <c r="E85" s="115" t="n"/>
      <c r="F85" s="70" t="n"/>
      <c r="G85" s="116" t="n"/>
      <c r="H85" s="116">
        <f>IF(D85="Compra",E85*G85,"")</f>
        <v/>
      </c>
      <c r="I85" s="70" t="n"/>
      <c r="J85" s="89">
        <f>IF(B85="","",B85&amp;"|"&amp;D85)</f>
        <v/>
      </c>
      <c r="K85" s="70" t="n"/>
      <c r="L85" s="70" t="n"/>
    </row>
    <row r="86">
      <c r="A86" s="114" t="n"/>
      <c r="B86" s="70" t="n"/>
      <c r="C86" s="70">
        <f>IFERROR(VLOOKUP(B86,Estoque!$A$2:$B$121,2,FALSE),"")</f>
        <v/>
      </c>
      <c r="D86" s="70" t="n"/>
      <c r="E86" s="115" t="n"/>
      <c r="F86" s="70" t="n"/>
      <c r="G86" s="116" t="n"/>
      <c r="H86" s="116">
        <f>IF(D86="Compra",E86*G86,"")</f>
        <v/>
      </c>
      <c r="I86" s="70" t="n"/>
      <c r="J86" s="89">
        <f>IF(B86="","",B86&amp;"|"&amp;D86)</f>
        <v/>
      </c>
      <c r="K86" s="70" t="n"/>
      <c r="L86" s="70" t="n"/>
    </row>
    <row r="87">
      <c r="A87" s="114" t="n"/>
      <c r="B87" s="70" t="n"/>
      <c r="C87" s="70">
        <f>IFERROR(VLOOKUP(B87,Estoque!$A$2:$B$121,2,FALSE),"")</f>
        <v/>
      </c>
      <c r="D87" s="70" t="n"/>
      <c r="E87" s="115" t="n"/>
      <c r="F87" s="70" t="n"/>
      <c r="G87" s="116" t="n"/>
      <c r="H87" s="116">
        <f>IF(D87="Compra",E87*G87,"")</f>
        <v/>
      </c>
      <c r="I87" s="70" t="n"/>
      <c r="J87" s="89">
        <f>IF(B87="","",B87&amp;"|"&amp;D87)</f>
        <v/>
      </c>
      <c r="K87" s="70" t="n"/>
      <c r="L87" s="70" t="n"/>
    </row>
    <row r="88">
      <c r="A88" s="114" t="n"/>
      <c r="B88" s="70" t="n"/>
      <c r="C88" s="70">
        <f>IFERROR(VLOOKUP(B88,Estoque!$A$2:$B$121,2,FALSE),"")</f>
        <v/>
      </c>
      <c r="D88" s="70" t="n"/>
      <c r="E88" s="115" t="n"/>
      <c r="F88" s="70" t="n"/>
      <c r="G88" s="116" t="n"/>
      <c r="H88" s="116">
        <f>IF(D88="Compra",E88*G88,"")</f>
        <v/>
      </c>
      <c r="I88" s="70" t="n"/>
      <c r="J88" s="89">
        <f>IF(B88="","",B88&amp;"|"&amp;D88)</f>
        <v/>
      </c>
      <c r="K88" s="70" t="n"/>
      <c r="L88" s="70" t="n"/>
    </row>
    <row r="89">
      <c r="A89" s="114" t="n"/>
      <c r="B89" s="70" t="n"/>
      <c r="C89" s="70">
        <f>IFERROR(VLOOKUP(B89,Estoque!$A$2:$B$121,2,FALSE),"")</f>
        <v/>
      </c>
      <c r="D89" s="70" t="n"/>
      <c r="E89" s="115" t="n"/>
      <c r="F89" s="70" t="n"/>
      <c r="G89" s="116" t="n"/>
      <c r="H89" s="116">
        <f>IF(D89="Compra",E89*G89,"")</f>
        <v/>
      </c>
      <c r="I89" s="70" t="n"/>
      <c r="J89" s="89">
        <f>IF(B89="","",B89&amp;"|"&amp;D89)</f>
        <v/>
      </c>
      <c r="K89" s="70" t="n"/>
      <c r="L89" s="70" t="n"/>
    </row>
    <row r="90">
      <c r="A90" s="114" t="n"/>
      <c r="B90" s="70" t="n"/>
      <c r="C90" s="70">
        <f>IFERROR(VLOOKUP(B90,Estoque!$A$2:$B$121,2,FALSE),"")</f>
        <v/>
      </c>
      <c r="D90" s="70" t="n"/>
      <c r="E90" s="115" t="n"/>
      <c r="F90" s="70" t="n"/>
      <c r="G90" s="116" t="n"/>
      <c r="H90" s="116">
        <f>IF(D90="Compra",E90*G90,"")</f>
        <v/>
      </c>
      <c r="I90" s="70" t="n"/>
      <c r="J90" s="89">
        <f>IF(B90="","",B90&amp;"|"&amp;D90)</f>
        <v/>
      </c>
      <c r="K90" s="70" t="n"/>
      <c r="L90" s="70" t="n"/>
    </row>
    <row r="91">
      <c r="A91" s="114" t="n"/>
      <c r="B91" s="70" t="n"/>
      <c r="C91" s="70">
        <f>IFERROR(VLOOKUP(B91,Estoque!$A$2:$B$121,2,FALSE),"")</f>
        <v/>
      </c>
      <c r="D91" s="70" t="n"/>
      <c r="E91" s="115" t="n"/>
      <c r="F91" s="70" t="n"/>
      <c r="G91" s="116" t="n"/>
      <c r="H91" s="116">
        <f>IF(D91="Compra",E91*G91,"")</f>
        <v/>
      </c>
      <c r="I91" s="70" t="n"/>
      <c r="J91" s="89">
        <f>IF(B91="","",B91&amp;"|"&amp;D91)</f>
        <v/>
      </c>
      <c r="K91" s="70" t="n"/>
      <c r="L91" s="70" t="n"/>
    </row>
    <row r="92">
      <c r="A92" s="114" t="n"/>
      <c r="B92" s="70" t="n"/>
      <c r="C92" s="70">
        <f>IFERROR(VLOOKUP(B92,Estoque!$A$2:$B$121,2,FALSE),"")</f>
        <v/>
      </c>
      <c r="D92" s="70" t="n"/>
      <c r="E92" s="115" t="n"/>
      <c r="F92" s="70" t="n"/>
      <c r="G92" s="116" t="n"/>
      <c r="H92" s="116">
        <f>IF(D92="Compra",E92*G92,"")</f>
        <v/>
      </c>
      <c r="I92" s="70" t="n"/>
      <c r="J92" s="89">
        <f>IF(B92="","",B92&amp;"|"&amp;D92)</f>
        <v/>
      </c>
      <c r="K92" s="70" t="n"/>
      <c r="L92" s="70" t="n"/>
    </row>
    <row r="93">
      <c r="A93" s="114" t="n"/>
      <c r="B93" s="70" t="n"/>
      <c r="C93" s="70">
        <f>IFERROR(VLOOKUP(B93,Estoque!$A$2:$B$121,2,FALSE),"")</f>
        <v/>
      </c>
      <c r="D93" s="70" t="n"/>
      <c r="E93" s="115" t="n"/>
      <c r="F93" s="70" t="n"/>
      <c r="G93" s="116" t="n"/>
      <c r="H93" s="116">
        <f>IF(D93="Compra",E93*G93,"")</f>
        <v/>
      </c>
      <c r="I93" s="70" t="n"/>
      <c r="J93" s="89">
        <f>IF(B93="","",B93&amp;"|"&amp;D93)</f>
        <v/>
      </c>
      <c r="K93" s="70" t="n"/>
      <c r="L93" s="70" t="n"/>
    </row>
    <row r="94">
      <c r="A94" s="114" t="n"/>
      <c r="B94" s="70" t="n"/>
      <c r="C94" s="70">
        <f>IFERROR(VLOOKUP(B94,Estoque!$A$2:$B$121,2,FALSE),"")</f>
        <v/>
      </c>
      <c r="D94" s="70" t="n"/>
      <c r="E94" s="115" t="n"/>
      <c r="F94" s="70" t="n"/>
      <c r="G94" s="116" t="n"/>
      <c r="H94" s="116">
        <f>IF(D94="Compra",E94*G94,"")</f>
        <v/>
      </c>
      <c r="I94" s="70" t="n"/>
      <c r="J94" s="89">
        <f>IF(B94="","",B94&amp;"|"&amp;D94)</f>
        <v/>
      </c>
      <c r="K94" s="70" t="n"/>
      <c r="L94" s="70" t="n"/>
    </row>
    <row r="95">
      <c r="A95" s="114" t="n"/>
      <c r="B95" s="70" t="n"/>
      <c r="C95" s="70">
        <f>IFERROR(VLOOKUP(B95,Estoque!$A$2:$B$121,2,FALSE),"")</f>
        <v/>
      </c>
      <c r="D95" s="70" t="n"/>
      <c r="E95" s="115" t="n"/>
      <c r="F95" s="70" t="n"/>
      <c r="G95" s="116" t="n"/>
      <c r="H95" s="116">
        <f>IF(D95="Compra",E95*G95,"")</f>
        <v/>
      </c>
      <c r="I95" s="70" t="n"/>
      <c r="J95" s="89">
        <f>IF(B95="","",B95&amp;"|"&amp;D95)</f>
        <v/>
      </c>
      <c r="K95" s="70" t="n"/>
      <c r="L95" s="70" t="n"/>
    </row>
    <row r="96">
      <c r="A96" s="114" t="n"/>
      <c r="B96" s="70" t="n"/>
      <c r="C96" s="70">
        <f>IFERROR(VLOOKUP(B96,Estoque!$A$2:$B$121,2,FALSE),"")</f>
        <v/>
      </c>
      <c r="D96" s="70" t="n"/>
      <c r="E96" s="115" t="n"/>
      <c r="F96" s="70" t="n"/>
      <c r="G96" s="116" t="n"/>
      <c r="H96" s="116">
        <f>IF(D96="Compra",E96*G96,"")</f>
        <v/>
      </c>
      <c r="I96" s="70" t="n"/>
      <c r="J96" s="89">
        <f>IF(B96="","",B96&amp;"|"&amp;D96)</f>
        <v/>
      </c>
      <c r="K96" s="70" t="n"/>
      <c r="L96" s="70" t="n"/>
    </row>
    <row r="97">
      <c r="A97" s="114" t="n"/>
      <c r="B97" s="70" t="n"/>
      <c r="C97" s="70">
        <f>IFERROR(VLOOKUP(B97,Estoque!$A$2:$B$121,2,FALSE),"")</f>
        <v/>
      </c>
      <c r="D97" s="70" t="n"/>
      <c r="E97" s="115" t="n"/>
      <c r="F97" s="70" t="n"/>
      <c r="G97" s="116" t="n"/>
      <c r="H97" s="116">
        <f>IF(D97="Compra",E97*G97,"")</f>
        <v/>
      </c>
      <c r="I97" s="70" t="n"/>
      <c r="J97" s="89">
        <f>IF(B97="","",B97&amp;"|"&amp;D97)</f>
        <v/>
      </c>
      <c r="K97" s="70" t="n"/>
      <c r="L97" s="70" t="n"/>
    </row>
    <row r="98">
      <c r="A98" s="114" t="n"/>
      <c r="B98" s="70" t="n"/>
      <c r="C98" s="70">
        <f>IFERROR(VLOOKUP(B98,Estoque!$A$2:$B$121,2,FALSE),"")</f>
        <v/>
      </c>
      <c r="D98" s="70" t="n"/>
      <c r="E98" s="115" t="n"/>
      <c r="F98" s="70" t="n"/>
      <c r="G98" s="116" t="n"/>
      <c r="H98" s="116">
        <f>IF(D98="Compra",E98*G98,"")</f>
        <v/>
      </c>
      <c r="I98" s="70" t="n"/>
      <c r="J98" s="89">
        <f>IF(B98="","",B98&amp;"|"&amp;D98)</f>
        <v/>
      </c>
      <c r="K98" s="70" t="n"/>
      <c r="L98" s="70" t="n"/>
    </row>
    <row r="99">
      <c r="A99" s="114" t="n"/>
      <c r="B99" s="70" t="n"/>
      <c r="C99" s="70">
        <f>IFERROR(VLOOKUP(B99,Estoque!$A$2:$B$121,2,FALSE),"")</f>
        <v/>
      </c>
      <c r="D99" s="70" t="n"/>
      <c r="E99" s="115" t="n"/>
      <c r="F99" s="70" t="n"/>
      <c r="G99" s="116" t="n"/>
      <c r="H99" s="116">
        <f>IF(D99="Compra",E99*G99,"")</f>
        <v/>
      </c>
      <c r="I99" s="70" t="n"/>
      <c r="J99" s="89">
        <f>IF(B99="","",B99&amp;"|"&amp;D99)</f>
        <v/>
      </c>
      <c r="K99" s="70" t="n"/>
      <c r="L99" s="70" t="n"/>
    </row>
    <row r="100">
      <c r="A100" s="114" t="n"/>
      <c r="B100" s="70" t="n"/>
      <c r="C100" s="70">
        <f>IFERROR(VLOOKUP(B100,Estoque!$A$2:$B$121,2,FALSE),"")</f>
        <v/>
      </c>
      <c r="D100" s="70" t="n"/>
      <c r="E100" s="115" t="n"/>
      <c r="F100" s="70" t="n"/>
      <c r="G100" s="116" t="n"/>
      <c r="H100" s="116">
        <f>IF(D100="Compra",E100*G100,"")</f>
        <v/>
      </c>
      <c r="I100" s="70" t="n"/>
      <c r="J100" s="89">
        <f>IF(B100="","",B100&amp;"|"&amp;D100)</f>
        <v/>
      </c>
      <c r="K100" s="70" t="n"/>
      <c r="L100" s="70" t="n"/>
    </row>
    <row r="101">
      <c r="A101" s="114" t="n"/>
      <c r="B101" s="70" t="n"/>
      <c r="C101" s="70">
        <f>IFERROR(VLOOKUP(B101,Estoque!$A$2:$B$121,2,FALSE),"")</f>
        <v/>
      </c>
      <c r="D101" s="70" t="n"/>
      <c r="E101" s="115" t="n"/>
      <c r="F101" s="70" t="n"/>
      <c r="G101" s="116" t="n"/>
      <c r="H101" s="116">
        <f>IF(D101="Compra",E101*G101,"")</f>
        <v/>
      </c>
      <c r="I101" s="70" t="n"/>
      <c r="J101" s="89">
        <f>IF(B101="","",B101&amp;"|"&amp;D101)</f>
        <v/>
      </c>
      <c r="K101" s="70" t="n"/>
      <c r="L101" s="70" t="n"/>
    </row>
    <row r="102">
      <c r="A102" s="114" t="n"/>
      <c r="B102" s="70" t="n"/>
      <c r="C102" s="70">
        <f>IFERROR(VLOOKUP(B102,Estoque!$A$2:$B$121,2,FALSE),"")</f>
        <v/>
      </c>
      <c r="D102" s="70" t="n"/>
      <c r="E102" s="115" t="n"/>
      <c r="F102" s="70" t="n"/>
      <c r="G102" s="116" t="n"/>
      <c r="H102" s="116">
        <f>IF(D102="Compra",E102*G102,"")</f>
        <v/>
      </c>
      <c r="I102" s="70" t="n"/>
      <c r="J102" s="89">
        <f>IF(B102="","",B102&amp;"|"&amp;D102)</f>
        <v/>
      </c>
      <c r="K102" s="70" t="n"/>
      <c r="L102" s="70" t="n"/>
    </row>
    <row r="103">
      <c r="A103" s="114" t="n"/>
      <c r="B103" s="70" t="n"/>
      <c r="C103" s="70">
        <f>IFERROR(VLOOKUP(B103,Estoque!$A$2:$B$121,2,FALSE),"")</f>
        <v/>
      </c>
      <c r="D103" s="70" t="n"/>
      <c r="E103" s="115" t="n"/>
      <c r="F103" s="70" t="n"/>
      <c r="G103" s="116" t="n"/>
      <c r="H103" s="116">
        <f>IF(D103="Compra",E103*G103,"")</f>
        <v/>
      </c>
      <c r="I103" s="70" t="n"/>
      <c r="J103" s="89">
        <f>IF(B103="","",B103&amp;"|"&amp;D103)</f>
        <v/>
      </c>
      <c r="K103" s="70" t="n"/>
      <c r="L103" s="70" t="n"/>
    </row>
    <row r="104">
      <c r="A104" s="114" t="n"/>
      <c r="B104" s="70" t="n"/>
      <c r="C104" s="70">
        <f>IFERROR(VLOOKUP(B104,Estoque!$A$2:$B$121,2,FALSE),"")</f>
        <v/>
      </c>
      <c r="D104" s="70" t="n"/>
      <c r="E104" s="115" t="n"/>
      <c r="F104" s="70" t="n"/>
      <c r="G104" s="116" t="n"/>
      <c r="H104" s="116">
        <f>IF(D104="Compra",E104*G104,"")</f>
        <v/>
      </c>
      <c r="I104" s="70" t="n"/>
      <c r="J104" s="89">
        <f>IF(B104="","",B104&amp;"|"&amp;D104)</f>
        <v/>
      </c>
      <c r="K104" s="70" t="n"/>
      <c r="L104" s="70" t="n"/>
    </row>
    <row r="105">
      <c r="A105" s="114" t="n"/>
      <c r="B105" s="70" t="n"/>
      <c r="C105" s="70">
        <f>IFERROR(VLOOKUP(B105,Estoque!$A$2:$B$121,2,FALSE),"")</f>
        <v/>
      </c>
      <c r="D105" s="70" t="n"/>
      <c r="E105" s="115" t="n"/>
      <c r="F105" s="70" t="n"/>
      <c r="G105" s="116" t="n"/>
      <c r="H105" s="116">
        <f>IF(D105="Compra",E105*G105,"")</f>
        <v/>
      </c>
      <c r="I105" s="70" t="n"/>
      <c r="J105" s="89">
        <f>IF(B105="","",B105&amp;"|"&amp;D105)</f>
        <v/>
      </c>
      <c r="K105" s="70" t="n"/>
      <c r="L105" s="70" t="n"/>
    </row>
    <row r="106">
      <c r="A106" s="114" t="n"/>
      <c r="B106" s="70" t="n"/>
      <c r="C106" s="70">
        <f>IFERROR(VLOOKUP(B106,Estoque!$A$2:$B$121,2,FALSE),"")</f>
        <v/>
      </c>
      <c r="D106" s="70" t="n"/>
      <c r="E106" s="115" t="n"/>
      <c r="F106" s="70" t="n"/>
      <c r="G106" s="116" t="n"/>
      <c r="H106" s="116">
        <f>IF(D106="Compra",E106*G106,"")</f>
        <v/>
      </c>
      <c r="I106" s="70" t="n"/>
      <c r="J106" s="89">
        <f>IF(B106="","",B106&amp;"|"&amp;D106)</f>
        <v/>
      </c>
      <c r="K106" s="70" t="n"/>
      <c r="L106" s="70" t="n"/>
    </row>
    <row r="107">
      <c r="A107" s="114" t="n"/>
      <c r="B107" s="70" t="n"/>
      <c r="C107" s="70">
        <f>IFERROR(VLOOKUP(B107,Estoque!$A$2:$B$121,2,FALSE),"")</f>
        <v/>
      </c>
      <c r="D107" s="70" t="n"/>
      <c r="E107" s="115" t="n"/>
      <c r="F107" s="70" t="n"/>
      <c r="G107" s="116" t="n"/>
      <c r="H107" s="116">
        <f>IF(D107="Compra",E107*G107,"")</f>
        <v/>
      </c>
      <c r="I107" s="70" t="n"/>
      <c r="J107" s="89">
        <f>IF(B107="","",B107&amp;"|"&amp;D107)</f>
        <v/>
      </c>
      <c r="K107" s="70" t="n"/>
      <c r="L107" s="70" t="n"/>
    </row>
    <row r="108">
      <c r="A108" s="114" t="n"/>
      <c r="B108" s="70" t="n"/>
      <c r="C108" s="70">
        <f>IFERROR(VLOOKUP(B108,Estoque!$A$2:$B$121,2,FALSE),"")</f>
        <v/>
      </c>
      <c r="D108" s="70" t="n"/>
      <c r="E108" s="115" t="n"/>
      <c r="F108" s="70" t="n"/>
      <c r="G108" s="116" t="n"/>
      <c r="H108" s="116">
        <f>IF(D108="Compra",E108*G108,"")</f>
        <v/>
      </c>
      <c r="I108" s="70" t="n"/>
      <c r="J108" s="89">
        <f>IF(B108="","",B108&amp;"|"&amp;D108)</f>
        <v/>
      </c>
      <c r="K108" s="70" t="n"/>
      <c r="L108" s="70" t="n"/>
    </row>
    <row r="109">
      <c r="A109" s="114" t="n"/>
      <c r="B109" s="70" t="n"/>
      <c r="C109" s="70">
        <f>IFERROR(VLOOKUP(B109,Estoque!$A$2:$B$121,2,FALSE),"")</f>
        <v/>
      </c>
      <c r="D109" s="70" t="n"/>
      <c r="E109" s="115" t="n"/>
      <c r="F109" s="70" t="n"/>
      <c r="G109" s="116" t="n"/>
      <c r="H109" s="116">
        <f>IF(D109="Compra",E109*G109,"")</f>
        <v/>
      </c>
      <c r="I109" s="70" t="n"/>
      <c r="J109" s="89">
        <f>IF(B109="","",B109&amp;"|"&amp;D109)</f>
        <v/>
      </c>
      <c r="K109" s="70" t="n"/>
      <c r="L109" s="70" t="n"/>
    </row>
    <row r="110">
      <c r="A110" s="114" t="n"/>
      <c r="B110" s="70" t="n"/>
      <c r="C110" s="70">
        <f>IFERROR(VLOOKUP(B110,Estoque!$A$2:$B$121,2,FALSE),"")</f>
        <v/>
      </c>
      <c r="D110" s="70" t="n"/>
      <c r="E110" s="115" t="n"/>
      <c r="F110" s="70" t="n"/>
      <c r="G110" s="116" t="n"/>
      <c r="H110" s="116">
        <f>IF(D110="Compra",E110*G110,"")</f>
        <v/>
      </c>
      <c r="I110" s="70" t="n"/>
      <c r="J110" s="89">
        <f>IF(B110="","",B110&amp;"|"&amp;D110)</f>
        <v/>
      </c>
      <c r="K110" s="70" t="n"/>
      <c r="L110" s="70" t="n"/>
    </row>
    <row r="111">
      <c r="A111" s="114" t="n"/>
      <c r="B111" s="70" t="n"/>
      <c r="C111" s="70">
        <f>IFERROR(VLOOKUP(B111,Estoque!$A$2:$B$121,2,FALSE),"")</f>
        <v/>
      </c>
      <c r="D111" s="70" t="n"/>
      <c r="E111" s="115" t="n"/>
      <c r="F111" s="70" t="n"/>
      <c r="G111" s="116" t="n"/>
      <c r="H111" s="116">
        <f>IF(D111="Compra",E111*G111,"")</f>
        <v/>
      </c>
      <c r="I111" s="70" t="n"/>
      <c r="J111" s="89">
        <f>IF(B111="","",B111&amp;"|"&amp;D111)</f>
        <v/>
      </c>
      <c r="K111" s="70" t="n"/>
      <c r="L111" s="70" t="n"/>
    </row>
    <row r="112">
      <c r="A112" s="114" t="n"/>
      <c r="B112" s="70" t="n"/>
      <c r="C112" s="70">
        <f>IFERROR(VLOOKUP(B112,Estoque!$A$2:$B$121,2,FALSE),"")</f>
        <v/>
      </c>
      <c r="D112" s="70" t="n"/>
      <c r="E112" s="115" t="n"/>
      <c r="F112" s="70" t="n"/>
      <c r="G112" s="116" t="n"/>
      <c r="H112" s="116">
        <f>IF(D112="Compra",E112*G112,"")</f>
        <v/>
      </c>
      <c r="I112" s="70" t="n"/>
      <c r="J112" s="89">
        <f>IF(B112="","",B112&amp;"|"&amp;D112)</f>
        <v/>
      </c>
      <c r="K112" s="70" t="n"/>
      <c r="L112" s="70" t="n"/>
    </row>
    <row r="113">
      <c r="A113" s="114" t="n"/>
      <c r="B113" s="70" t="n"/>
      <c r="C113" s="70">
        <f>IFERROR(VLOOKUP(B113,Estoque!$A$2:$B$121,2,FALSE),"")</f>
        <v/>
      </c>
      <c r="D113" s="70" t="n"/>
      <c r="E113" s="115" t="n"/>
      <c r="F113" s="70" t="n"/>
      <c r="G113" s="116" t="n"/>
      <c r="H113" s="116">
        <f>IF(D113="Compra",E113*G113,"")</f>
        <v/>
      </c>
      <c r="I113" s="70" t="n"/>
      <c r="J113" s="89">
        <f>IF(B113="","",B113&amp;"|"&amp;D113)</f>
        <v/>
      </c>
      <c r="K113" s="70" t="n"/>
      <c r="L113" s="70" t="n"/>
    </row>
    <row r="114">
      <c r="A114" s="114" t="n"/>
      <c r="B114" s="70" t="n"/>
      <c r="C114" s="70">
        <f>IFERROR(VLOOKUP(B114,Estoque!$A$2:$B$121,2,FALSE),"")</f>
        <v/>
      </c>
      <c r="D114" s="70" t="n"/>
      <c r="E114" s="115" t="n"/>
      <c r="F114" s="70" t="n"/>
      <c r="G114" s="116" t="n"/>
      <c r="H114" s="116">
        <f>IF(D114="Compra",E114*G114,"")</f>
        <v/>
      </c>
      <c r="I114" s="70" t="n"/>
      <c r="J114" s="89">
        <f>IF(B114="","",B114&amp;"|"&amp;D114)</f>
        <v/>
      </c>
      <c r="K114" s="70" t="n"/>
      <c r="L114" s="70" t="n"/>
    </row>
    <row r="115">
      <c r="A115" s="114" t="n"/>
      <c r="B115" s="70" t="n"/>
      <c r="C115" s="70">
        <f>IFERROR(VLOOKUP(B115,Estoque!$A$2:$B$121,2,FALSE),"")</f>
        <v/>
      </c>
      <c r="D115" s="70" t="n"/>
      <c r="E115" s="115" t="n"/>
      <c r="F115" s="70" t="n"/>
      <c r="G115" s="116" t="n"/>
      <c r="H115" s="116">
        <f>IF(D115="Compra",E115*G115,"")</f>
        <v/>
      </c>
      <c r="I115" s="70" t="n"/>
      <c r="J115" s="89">
        <f>IF(B115="","",B115&amp;"|"&amp;D115)</f>
        <v/>
      </c>
      <c r="K115" s="70" t="n"/>
      <c r="L115" s="70" t="n"/>
    </row>
    <row r="116">
      <c r="A116" s="114" t="n"/>
      <c r="B116" s="70" t="n"/>
      <c r="C116" s="70">
        <f>IFERROR(VLOOKUP(B116,Estoque!$A$2:$B$121,2,FALSE),"")</f>
        <v/>
      </c>
      <c r="D116" s="70" t="n"/>
      <c r="E116" s="115" t="n"/>
      <c r="F116" s="70" t="n"/>
      <c r="G116" s="116" t="n"/>
      <c r="H116" s="116">
        <f>IF(D116="Compra",E116*G116,"")</f>
        <v/>
      </c>
      <c r="I116" s="70" t="n"/>
      <c r="J116" s="89">
        <f>IF(B116="","",B116&amp;"|"&amp;D116)</f>
        <v/>
      </c>
      <c r="K116" s="70" t="n"/>
      <c r="L116" s="70" t="n"/>
    </row>
    <row r="117">
      <c r="A117" s="114" t="n"/>
      <c r="B117" s="70" t="n"/>
      <c r="C117" s="70">
        <f>IFERROR(VLOOKUP(B117,Estoque!$A$2:$B$121,2,FALSE),"")</f>
        <v/>
      </c>
      <c r="D117" s="70" t="n"/>
      <c r="E117" s="115" t="n"/>
      <c r="F117" s="70" t="n"/>
      <c r="G117" s="116" t="n"/>
      <c r="H117" s="116">
        <f>IF(D117="Compra",E117*G117,"")</f>
        <v/>
      </c>
      <c r="I117" s="70" t="n"/>
      <c r="J117" s="89">
        <f>IF(B117="","",B117&amp;"|"&amp;D117)</f>
        <v/>
      </c>
      <c r="K117" s="70" t="n"/>
      <c r="L117" s="70" t="n"/>
    </row>
    <row r="118">
      <c r="A118" s="114" t="n"/>
      <c r="B118" s="70" t="n"/>
      <c r="C118" s="70">
        <f>IFERROR(VLOOKUP(B118,Estoque!$A$2:$B$121,2,FALSE),"")</f>
        <v/>
      </c>
      <c r="D118" s="70" t="n"/>
      <c r="E118" s="115" t="n"/>
      <c r="F118" s="70" t="n"/>
      <c r="G118" s="116" t="n"/>
      <c r="H118" s="116">
        <f>IF(D118="Compra",E118*G118,"")</f>
        <v/>
      </c>
      <c r="I118" s="70" t="n"/>
      <c r="J118" s="89">
        <f>IF(B118="","",B118&amp;"|"&amp;D118)</f>
        <v/>
      </c>
      <c r="K118" s="70" t="n"/>
      <c r="L118" s="70" t="n"/>
    </row>
    <row r="119">
      <c r="A119" s="114" t="n"/>
      <c r="B119" s="70" t="n"/>
      <c r="C119" s="70">
        <f>IFERROR(VLOOKUP(B119,Estoque!$A$2:$B$121,2,FALSE),"")</f>
        <v/>
      </c>
      <c r="D119" s="70" t="n"/>
      <c r="E119" s="115" t="n"/>
      <c r="F119" s="70" t="n"/>
      <c r="G119" s="116" t="n"/>
      <c r="H119" s="116">
        <f>IF(D119="Compra",E119*G119,"")</f>
        <v/>
      </c>
      <c r="I119" s="70" t="n"/>
      <c r="J119" s="89">
        <f>IF(B119="","",B119&amp;"|"&amp;D119)</f>
        <v/>
      </c>
      <c r="K119" s="70" t="n"/>
      <c r="L119" s="70" t="n"/>
    </row>
    <row r="120">
      <c r="A120" s="114" t="n"/>
      <c r="B120" s="70" t="n"/>
      <c r="C120" s="70">
        <f>IFERROR(VLOOKUP(B120,Estoque!$A$2:$B$121,2,FALSE),"")</f>
        <v/>
      </c>
      <c r="D120" s="70" t="n"/>
      <c r="E120" s="115" t="n"/>
      <c r="F120" s="70" t="n"/>
      <c r="G120" s="116" t="n"/>
      <c r="H120" s="116">
        <f>IF(D120="Compra",E120*G120,"")</f>
        <v/>
      </c>
      <c r="I120" s="70" t="n"/>
      <c r="J120" s="89">
        <f>IF(B120="","",B120&amp;"|"&amp;D120)</f>
        <v/>
      </c>
      <c r="K120" s="70" t="n"/>
      <c r="L120" s="70" t="n"/>
    </row>
    <row r="121">
      <c r="A121" s="114" t="n"/>
      <c r="B121" s="70" t="n"/>
      <c r="C121" s="70">
        <f>IFERROR(VLOOKUP(B121,Estoque!$A$2:$B$121,2,FALSE),"")</f>
        <v/>
      </c>
      <c r="D121" s="70" t="n"/>
      <c r="E121" s="115" t="n"/>
      <c r="F121" s="70" t="n"/>
      <c r="G121" s="116" t="n"/>
      <c r="H121" s="116">
        <f>IF(D121="Compra",E121*G121,"")</f>
        <v/>
      </c>
      <c r="I121" s="70" t="n"/>
      <c r="J121" s="89">
        <f>IF(B121="","",B121&amp;"|"&amp;D121)</f>
        <v/>
      </c>
      <c r="K121" s="70" t="n"/>
      <c r="L121" s="70" t="n"/>
    </row>
    <row r="122">
      <c r="A122" s="70" t="n"/>
      <c r="B122" s="70" t="n"/>
      <c r="C122" s="70" t="n"/>
      <c r="D122" s="70" t="n"/>
      <c r="E122" s="70" t="n"/>
      <c r="F122" s="70" t="n"/>
      <c r="G122" s="70" t="n"/>
      <c r="H122" s="70" t="n"/>
      <c r="I122" s="70" t="n"/>
      <c r="J122" s="70" t="n"/>
      <c r="K122" s="70" t="n"/>
      <c r="L122" s="70" t="n"/>
    </row>
    <row r="123">
      <c r="A123" s="70" t="n"/>
      <c r="B123" s="70" t="n"/>
      <c r="C123" s="70" t="n"/>
      <c r="D123" s="70" t="n"/>
      <c r="E123" s="70" t="n"/>
      <c r="F123" s="70" t="n"/>
      <c r="G123" s="70" t="n"/>
      <c r="H123" s="70" t="n"/>
      <c r="I123" s="70" t="n"/>
      <c r="J123" s="70" t="n"/>
      <c r="K123" s="70" t="n"/>
      <c r="L123" s="70" t="n"/>
    </row>
    <row r="124">
      <c r="A124" s="70" t="n"/>
      <c r="B124" s="70" t="n"/>
      <c r="C124" s="70" t="n"/>
      <c r="D124" s="70" t="n"/>
      <c r="E124" s="70" t="n"/>
      <c r="F124" s="70" t="n"/>
      <c r="G124" s="70" t="n"/>
      <c r="H124" s="70" t="n"/>
      <c r="I124" s="70" t="n"/>
      <c r="J124" s="70" t="n"/>
      <c r="K124" s="70" t="n"/>
      <c r="L124" s="70" t="n"/>
    </row>
    <row r="125">
      <c r="A125" s="70" t="n"/>
      <c r="B125" s="70" t="n"/>
      <c r="C125" s="70" t="n"/>
      <c r="D125" s="70" t="n"/>
      <c r="E125" s="70" t="n"/>
      <c r="F125" s="70" t="n"/>
      <c r="G125" s="70" t="n"/>
      <c r="H125" s="70" t="n"/>
      <c r="I125" s="70" t="n"/>
      <c r="J125" s="70" t="n"/>
      <c r="K125" s="70" t="n"/>
      <c r="L125" s="70" t="n"/>
    </row>
    <row r="126">
      <c r="A126" s="70" t="n"/>
      <c r="B126" s="70" t="n"/>
      <c r="C126" s="70" t="n"/>
      <c r="D126" s="70" t="n"/>
      <c r="E126" s="70" t="n"/>
      <c r="F126" s="70" t="n"/>
      <c r="G126" s="70" t="n"/>
      <c r="H126" s="70" t="n"/>
      <c r="I126" s="70" t="n"/>
      <c r="J126" s="70" t="n"/>
      <c r="K126" s="70" t="n"/>
      <c r="L126" s="70" t="n"/>
    </row>
    <row r="127">
      <c r="A127" s="70" t="n"/>
      <c r="B127" s="70" t="n"/>
      <c r="C127" s="70" t="n"/>
      <c r="D127" s="70" t="n"/>
      <c r="E127" s="70" t="n"/>
      <c r="F127" s="70" t="n"/>
      <c r="G127" s="70" t="n"/>
      <c r="H127" s="70" t="n"/>
      <c r="I127" s="70" t="n"/>
      <c r="J127" s="70" t="n"/>
      <c r="K127" s="70" t="n"/>
      <c r="L127" s="70" t="n"/>
    </row>
    <row r="128">
      <c r="A128" s="70" t="n"/>
      <c r="B128" s="70" t="n"/>
      <c r="C128" s="70" t="n"/>
      <c r="D128" s="70" t="n"/>
      <c r="E128" s="70" t="n"/>
      <c r="F128" s="70" t="n"/>
      <c r="G128" s="70" t="n"/>
      <c r="H128" s="70" t="n"/>
      <c r="I128" s="70" t="n"/>
      <c r="J128" s="70" t="n"/>
      <c r="K128" s="70" t="n"/>
      <c r="L128" s="70" t="n"/>
    </row>
    <row r="129">
      <c r="A129" s="70" t="n"/>
      <c r="B129" s="70" t="n"/>
      <c r="C129" s="70" t="n"/>
      <c r="D129" s="70" t="n"/>
      <c r="E129" s="70" t="n"/>
      <c r="F129" s="70" t="n"/>
      <c r="G129" s="70" t="n"/>
      <c r="H129" s="70" t="n"/>
      <c r="I129" s="70" t="n"/>
      <c r="J129" s="70" t="n"/>
      <c r="K129" s="70" t="n"/>
      <c r="L129" s="70" t="n"/>
    </row>
    <row r="130">
      <c r="A130" s="70" t="n"/>
      <c r="B130" s="70" t="n"/>
      <c r="C130" s="70" t="n"/>
      <c r="D130" s="70" t="n"/>
      <c r="E130" s="70" t="n"/>
      <c r="F130" s="70" t="n"/>
      <c r="G130" s="70" t="n"/>
      <c r="H130" s="70" t="n"/>
      <c r="I130" s="70" t="n"/>
      <c r="J130" s="70" t="n"/>
      <c r="K130" s="70" t="n"/>
      <c r="L130" s="70" t="n"/>
    </row>
    <row r="131">
      <c r="A131" s="70" t="n"/>
      <c r="B131" s="70" t="n"/>
      <c r="C131" s="70" t="n"/>
      <c r="D131" s="70" t="n"/>
      <c r="E131" s="70" t="n"/>
      <c r="F131" s="70" t="n"/>
      <c r="G131" s="70" t="n"/>
      <c r="H131" s="70" t="n"/>
      <c r="I131" s="70" t="n"/>
      <c r="J131" s="70" t="n"/>
      <c r="K131" s="70" t="n"/>
      <c r="L131" s="70" t="n"/>
    </row>
    <row r="132">
      <c r="A132" s="70" t="n"/>
      <c r="B132" s="70" t="n"/>
      <c r="C132" s="70" t="n"/>
      <c r="D132" s="70" t="n"/>
      <c r="E132" s="70" t="n"/>
      <c r="F132" s="70" t="n"/>
      <c r="G132" s="70" t="n"/>
      <c r="H132" s="70" t="n"/>
      <c r="I132" s="70" t="n"/>
      <c r="J132" s="70" t="n"/>
      <c r="K132" s="70" t="n"/>
      <c r="L132" s="70" t="n"/>
    </row>
    <row r="133">
      <c r="A133" s="70" t="n"/>
      <c r="B133" s="70" t="n"/>
      <c r="C133" s="70" t="n"/>
      <c r="D133" s="70" t="n"/>
      <c r="E133" s="70" t="n"/>
      <c r="F133" s="70" t="n"/>
      <c r="G133" s="70" t="n"/>
      <c r="H133" s="70" t="n"/>
      <c r="I133" s="70" t="n"/>
      <c r="J133" s="70" t="n"/>
      <c r="K133" s="70" t="n"/>
      <c r="L133" s="70" t="n"/>
    </row>
    <row r="134">
      <c r="A134" s="70" t="n"/>
      <c r="B134" s="70" t="n"/>
      <c r="C134" s="70" t="n"/>
      <c r="D134" s="70" t="n"/>
      <c r="E134" s="70" t="n"/>
      <c r="F134" s="70" t="n"/>
      <c r="G134" s="70" t="n"/>
      <c r="H134" s="70" t="n"/>
      <c r="I134" s="70" t="n"/>
      <c r="J134" s="70" t="n"/>
      <c r="K134" s="70" t="n"/>
      <c r="L134" s="70" t="n"/>
    </row>
    <row r="135">
      <c r="A135" s="70" t="n"/>
      <c r="B135" s="70" t="n"/>
      <c r="C135" s="70" t="n"/>
      <c r="D135" s="70" t="n"/>
      <c r="E135" s="70" t="n"/>
      <c r="F135" s="70" t="n"/>
      <c r="G135" s="70" t="n"/>
      <c r="H135" s="70" t="n"/>
      <c r="I135" s="70" t="n"/>
      <c r="J135" s="70" t="n"/>
      <c r="K135" s="70" t="n"/>
      <c r="L135" s="70" t="n"/>
    </row>
    <row r="136">
      <c r="A136" s="70" t="n"/>
      <c r="B136" s="70" t="n"/>
      <c r="C136" s="70" t="n"/>
      <c r="D136" s="70" t="n"/>
      <c r="E136" s="70" t="n"/>
      <c r="F136" s="70" t="n"/>
      <c r="G136" s="70" t="n"/>
      <c r="H136" s="70" t="n"/>
      <c r="I136" s="70" t="n"/>
      <c r="J136" s="70" t="n"/>
      <c r="K136" s="70" t="n"/>
      <c r="L136" s="70" t="n"/>
    </row>
    <row r="137">
      <c r="A137" s="70" t="n"/>
      <c r="B137" s="70" t="n"/>
      <c r="C137" s="70" t="n"/>
      <c r="D137" s="70" t="n"/>
      <c r="E137" s="70" t="n"/>
      <c r="F137" s="70" t="n"/>
      <c r="G137" s="70" t="n"/>
      <c r="H137" s="70" t="n"/>
      <c r="I137" s="70" t="n"/>
      <c r="J137" s="70" t="n"/>
      <c r="K137" s="70" t="n"/>
      <c r="L137" s="70" t="n"/>
    </row>
    <row r="138">
      <c r="A138" s="70" t="n"/>
      <c r="B138" s="70" t="n"/>
      <c r="C138" s="70" t="n"/>
      <c r="D138" s="70" t="n"/>
      <c r="E138" s="70" t="n"/>
      <c r="F138" s="70" t="n"/>
      <c r="G138" s="70" t="n"/>
      <c r="H138" s="70" t="n"/>
      <c r="I138" s="70" t="n"/>
      <c r="J138" s="70" t="n"/>
      <c r="K138" s="70" t="n"/>
      <c r="L138" s="70" t="n"/>
    </row>
    <row r="139">
      <c r="A139" s="70" t="n"/>
      <c r="B139" s="70" t="n"/>
      <c r="C139" s="70" t="n"/>
      <c r="D139" s="70" t="n"/>
      <c r="E139" s="70" t="n"/>
      <c r="F139" s="70" t="n"/>
      <c r="G139" s="70" t="n"/>
      <c r="H139" s="70" t="n"/>
      <c r="I139" s="70" t="n"/>
      <c r="J139" s="70" t="n"/>
      <c r="K139" s="70" t="n"/>
      <c r="L139" s="70" t="n"/>
    </row>
    <row r="140">
      <c r="A140" s="70" t="n"/>
      <c r="B140" s="70" t="n"/>
      <c r="C140" s="70" t="n"/>
      <c r="D140" s="70" t="n"/>
      <c r="E140" s="70" t="n"/>
      <c r="F140" s="70" t="n"/>
      <c r="G140" s="70" t="n"/>
      <c r="H140" s="70" t="n"/>
      <c r="I140" s="70" t="n"/>
      <c r="J140" s="70" t="n"/>
      <c r="K140" s="70" t="n"/>
      <c r="L140" s="70" t="n"/>
    </row>
    <row r="141">
      <c r="A141" s="70" t="n"/>
      <c r="B141" s="70" t="n"/>
      <c r="C141" s="70" t="n"/>
      <c r="D141" s="70" t="n"/>
      <c r="E141" s="70" t="n"/>
      <c r="F141" s="70" t="n"/>
      <c r="G141" s="70" t="n"/>
      <c r="H141" s="70" t="n"/>
      <c r="I141" s="70" t="n"/>
      <c r="J141" s="70" t="n"/>
      <c r="K141" s="70" t="n"/>
      <c r="L141" s="70" t="n"/>
    </row>
    <row r="142">
      <c r="A142" s="70" t="n"/>
      <c r="B142" s="70" t="n"/>
      <c r="C142" s="70" t="n"/>
      <c r="D142" s="70" t="n"/>
      <c r="E142" s="70" t="n"/>
      <c r="F142" s="70" t="n"/>
      <c r="G142" s="70" t="n"/>
      <c r="H142" s="70" t="n"/>
      <c r="I142" s="70" t="n"/>
      <c r="J142" s="70" t="n"/>
      <c r="K142" s="70" t="n"/>
      <c r="L142" s="70" t="n"/>
    </row>
    <row r="143">
      <c r="A143" s="70" t="n"/>
      <c r="B143" s="70" t="n"/>
      <c r="C143" s="70" t="n"/>
      <c r="D143" s="70" t="n"/>
      <c r="E143" s="70" t="n"/>
      <c r="F143" s="70" t="n"/>
      <c r="G143" s="70" t="n"/>
      <c r="H143" s="70" t="n"/>
      <c r="I143" s="70" t="n"/>
      <c r="J143" s="70" t="n"/>
      <c r="K143" s="70" t="n"/>
      <c r="L143" s="70" t="n"/>
    </row>
    <row r="144">
      <c r="A144" s="70" t="n"/>
      <c r="B144" s="70" t="n"/>
      <c r="C144" s="70" t="n"/>
      <c r="D144" s="70" t="n"/>
      <c r="E144" s="70" t="n"/>
      <c r="F144" s="70" t="n"/>
      <c r="G144" s="70" t="n"/>
      <c r="H144" s="70" t="n"/>
      <c r="I144" s="70" t="n"/>
      <c r="J144" s="70" t="n"/>
      <c r="K144" s="70" t="n"/>
      <c r="L144" s="70" t="n"/>
    </row>
    <row r="145">
      <c r="A145" s="70" t="n"/>
      <c r="B145" s="70" t="n"/>
      <c r="C145" s="70" t="n"/>
      <c r="D145" s="70" t="n"/>
      <c r="E145" s="70" t="n"/>
      <c r="F145" s="70" t="n"/>
      <c r="G145" s="70" t="n"/>
      <c r="H145" s="70" t="n"/>
      <c r="I145" s="70" t="n"/>
      <c r="J145" s="70" t="n"/>
      <c r="K145" s="70" t="n"/>
      <c r="L145" s="70" t="n"/>
    </row>
    <row r="146">
      <c r="A146" s="70" t="n"/>
      <c r="B146" s="70" t="n"/>
      <c r="C146" s="70" t="n"/>
      <c r="D146" s="70" t="n"/>
      <c r="E146" s="70" t="n"/>
      <c r="F146" s="70" t="n"/>
      <c r="G146" s="70" t="n"/>
      <c r="H146" s="70" t="n"/>
      <c r="I146" s="70" t="n"/>
      <c r="J146" s="70" t="n"/>
      <c r="K146" s="70" t="n"/>
      <c r="L146" s="70" t="n"/>
    </row>
    <row r="147">
      <c r="A147" s="70" t="n"/>
      <c r="B147" s="70" t="n"/>
      <c r="C147" s="70" t="n"/>
      <c r="D147" s="70" t="n"/>
      <c r="E147" s="70" t="n"/>
      <c r="F147" s="70" t="n"/>
      <c r="G147" s="70" t="n"/>
      <c r="H147" s="70" t="n"/>
      <c r="I147" s="70" t="n"/>
      <c r="J147" s="70" t="n"/>
      <c r="K147" s="70" t="n"/>
      <c r="L147" s="70" t="n"/>
    </row>
    <row r="148">
      <c r="A148" s="70" t="n"/>
      <c r="B148" s="70" t="n"/>
      <c r="C148" s="70" t="n"/>
      <c r="D148" s="70" t="n"/>
      <c r="E148" s="70" t="n"/>
      <c r="F148" s="70" t="n"/>
      <c r="G148" s="70" t="n"/>
      <c r="H148" s="70" t="n"/>
      <c r="I148" s="70" t="n"/>
      <c r="J148" s="70" t="n"/>
      <c r="K148" s="70" t="n"/>
      <c r="L148" s="70" t="n"/>
    </row>
    <row r="149">
      <c r="A149" s="70" t="n"/>
      <c r="B149" s="70" t="n"/>
      <c r="C149" s="70" t="n"/>
      <c r="D149" s="70" t="n"/>
      <c r="E149" s="70" t="n"/>
      <c r="F149" s="70" t="n"/>
      <c r="G149" s="70" t="n"/>
      <c r="H149" s="70" t="n"/>
      <c r="I149" s="70" t="n"/>
      <c r="J149" s="70" t="n"/>
      <c r="K149" s="70" t="n"/>
      <c r="L149" s="70" t="n"/>
    </row>
    <row r="150">
      <c r="A150" s="70" t="n"/>
      <c r="B150" s="70" t="n"/>
      <c r="C150" s="70" t="n"/>
      <c r="D150" s="70" t="n"/>
      <c r="E150" s="70" t="n"/>
      <c r="F150" s="70" t="n"/>
      <c r="G150" s="70" t="n"/>
      <c r="H150" s="70" t="n"/>
      <c r="I150" s="70" t="n"/>
      <c r="J150" s="70" t="n"/>
      <c r="K150" s="70" t="n"/>
      <c r="L150" s="70" t="n"/>
    </row>
    <row r="151">
      <c r="A151" s="70" t="n"/>
      <c r="B151" s="70" t="n"/>
      <c r="C151" s="70" t="n"/>
      <c r="D151" s="70" t="n"/>
      <c r="E151" s="70" t="n"/>
      <c r="F151" s="70" t="n"/>
      <c r="G151" s="70" t="n"/>
      <c r="H151" s="70" t="n"/>
      <c r="I151" s="70" t="n"/>
      <c r="J151" s="70" t="n"/>
      <c r="K151" s="70" t="n"/>
      <c r="L151" s="70" t="n"/>
    </row>
    <row r="152">
      <c r="A152" s="70" t="n"/>
      <c r="B152" s="70" t="n"/>
      <c r="C152" s="70" t="n"/>
      <c r="D152" s="70" t="n"/>
      <c r="E152" s="70" t="n"/>
      <c r="F152" s="70" t="n"/>
      <c r="G152" s="70" t="n"/>
      <c r="H152" s="70" t="n"/>
      <c r="I152" s="70" t="n"/>
      <c r="J152" s="70" t="n"/>
      <c r="K152" s="70" t="n"/>
      <c r="L152" s="70" t="n"/>
    </row>
    <row r="153">
      <c r="A153" s="70" t="n"/>
      <c r="B153" s="70" t="n"/>
      <c r="C153" s="70" t="n"/>
      <c r="D153" s="70" t="n"/>
      <c r="E153" s="70" t="n"/>
      <c r="F153" s="70" t="n"/>
      <c r="G153" s="70" t="n"/>
      <c r="H153" s="70" t="n"/>
      <c r="I153" s="70" t="n"/>
      <c r="J153" s="70" t="n"/>
      <c r="K153" s="70" t="n"/>
      <c r="L153" s="70" t="n"/>
    </row>
    <row r="154">
      <c r="A154" s="70" t="n"/>
      <c r="B154" s="70" t="n"/>
      <c r="C154" s="70" t="n"/>
      <c r="D154" s="70" t="n"/>
      <c r="E154" s="70" t="n"/>
      <c r="F154" s="70" t="n"/>
      <c r="G154" s="70" t="n"/>
      <c r="H154" s="70" t="n"/>
      <c r="I154" s="70" t="n"/>
      <c r="J154" s="70" t="n"/>
      <c r="K154" s="70" t="n"/>
      <c r="L154" s="70" t="n"/>
    </row>
    <row r="155">
      <c r="A155" s="70" t="n"/>
      <c r="B155" s="70" t="n"/>
      <c r="C155" s="70" t="n"/>
      <c r="D155" s="70" t="n"/>
      <c r="E155" s="70" t="n"/>
      <c r="F155" s="70" t="n"/>
      <c r="G155" s="70" t="n"/>
      <c r="H155" s="70" t="n"/>
      <c r="I155" s="70" t="n"/>
      <c r="J155" s="70" t="n"/>
      <c r="K155" s="70" t="n"/>
      <c r="L155" s="70" t="n"/>
    </row>
    <row r="156">
      <c r="A156" s="70" t="n"/>
      <c r="B156" s="70" t="n"/>
      <c r="C156" s="70" t="n"/>
      <c r="D156" s="70" t="n"/>
      <c r="E156" s="70" t="n"/>
      <c r="F156" s="70" t="n"/>
      <c r="G156" s="70" t="n"/>
      <c r="H156" s="70" t="n"/>
      <c r="I156" s="70" t="n"/>
      <c r="J156" s="70" t="n"/>
      <c r="K156" s="70" t="n"/>
      <c r="L156" s="70" t="n"/>
    </row>
    <row r="157">
      <c r="A157" s="70" t="n"/>
      <c r="B157" s="70" t="n"/>
      <c r="C157" s="70" t="n"/>
      <c r="D157" s="70" t="n"/>
      <c r="E157" s="70" t="n"/>
      <c r="F157" s="70" t="n"/>
      <c r="G157" s="70" t="n"/>
      <c r="H157" s="70" t="n"/>
      <c r="I157" s="70" t="n"/>
      <c r="J157" s="70" t="n"/>
      <c r="K157" s="70" t="n"/>
      <c r="L157" s="70" t="n"/>
    </row>
    <row r="158">
      <c r="A158" s="70" t="n"/>
      <c r="B158" s="70" t="n"/>
      <c r="C158" s="70" t="n"/>
      <c r="D158" s="70" t="n"/>
      <c r="E158" s="70" t="n"/>
      <c r="F158" s="70" t="n"/>
      <c r="G158" s="70" t="n"/>
      <c r="H158" s="70" t="n"/>
      <c r="I158" s="70" t="n"/>
      <c r="J158" s="70" t="n"/>
      <c r="K158" s="70" t="n"/>
      <c r="L158" s="70" t="n"/>
    </row>
    <row r="159">
      <c r="A159" s="70" t="n"/>
      <c r="B159" s="70" t="n"/>
      <c r="C159" s="70" t="n"/>
      <c r="D159" s="70" t="n"/>
      <c r="E159" s="70" t="n"/>
      <c r="F159" s="70" t="n"/>
      <c r="G159" s="70" t="n"/>
      <c r="H159" s="70" t="n"/>
      <c r="I159" s="70" t="n"/>
      <c r="J159" s="70" t="n"/>
      <c r="K159" s="70" t="n"/>
      <c r="L159" s="70" t="n"/>
    </row>
    <row r="160">
      <c r="A160" s="70" t="n"/>
      <c r="B160" s="70" t="n"/>
      <c r="C160" s="70" t="n"/>
      <c r="D160" s="70" t="n"/>
      <c r="E160" s="70" t="n"/>
      <c r="F160" s="70" t="n"/>
      <c r="G160" s="70" t="n"/>
      <c r="H160" s="70" t="n"/>
      <c r="I160" s="70" t="n"/>
      <c r="J160" s="70" t="n"/>
      <c r="K160" s="70" t="n"/>
      <c r="L160" s="70" t="n"/>
    </row>
    <row r="161">
      <c r="A161" s="70" t="n"/>
      <c r="B161" s="70" t="n"/>
      <c r="C161" s="70" t="n"/>
      <c r="D161" s="70" t="n"/>
      <c r="E161" s="70" t="n"/>
      <c r="F161" s="70" t="n"/>
      <c r="G161" s="70" t="n"/>
      <c r="H161" s="70" t="n"/>
      <c r="I161" s="70" t="n"/>
      <c r="J161" s="70" t="n"/>
      <c r="K161" s="70" t="n"/>
      <c r="L161" s="70" t="n"/>
    </row>
    <row r="162">
      <c r="A162" s="70" t="n"/>
      <c r="B162" s="70" t="n"/>
      <c r="C162" s="70" t="n"/>
      <c r="D162" s="70" t="n"/>
      <c r="E162" s="70" t="n"/>
      <c r="F162" s="70" t="n"/>
      <c r="G162" s="70" t="n"/>
      <c r="H162" s="70" t="n"/>
      <c r="I162" s="70" t="n"/>
      <c r="J162" s="70" t="n"/>
      <c r="K162" s="70" t="n"/>
      <c r="L162" s="70" t="n"/>
    </row>
    <row r="163">
      <c r="A163" s="70" t="n"/>
      <c r="B163" s="70" t="n"/>
      <c r="C163" s="70" t="n"/>
      <c r="D163" s="70" t="n"/>
      <c r="E163" s="70" t="n"/>
      <c r="F163" s="70" t="n"/>
      <c r="G163" s="70" t="n"/>
      <c r="H163" s="70" t="n"/>
      <c r="I163" s="70" t="n"/>
      <c r="J163" s="70" t="n"/>
      <c r="K163" s="70" t="n"/>
      <c r="L163" s="70" t="n"/>
    </row>
    <row r="164">
      <c r="A164" s="70" t="n"/>
      <c r="B164" s="70" t="n"/>
      <c r="C164" s="70" t="n"/>
      <c r="D164" s="70" t="n"/>
      <c r="E164" s="70" t="n"/>
      <c r="F164" s="70" t="n"/>
      <c r="G164" s="70" t="n"/>
      <c r="H164" s="70" t="n"/>
      <c r="I164" s="70" t="n"/>
      <c r="J164" s="70" t="n"/>
      <c r="K164" s="70" t="n"/>
      <c r="L164" s="70" t="n"/>
    </row>
    <row r="165">
      <c r="A165" s="70" t="n"/>
      <c r="B165" s="70" t="n"/>
      <c r="C165" s="70" t="n"/>
      <c r="D165" s="70" t="n"/>
      <c r="E165" s="70" t="n"/>
      <c r="F165" s="70" t="n"/>
      <c r="G165" s="70" t="n"/>
      <c r="H165" s="70" t="n"/>
      <c r="I165" s="70" t="n"/>
      <c r="J165" s="70" t="n"/>
      <c r="K165" s="70" t="n"/>
      <c r="L165" s="70" t="n"/>
    </row>
    <row r="166">
      <c r="A166" s="70" t="n"/>
      <c r="B166" s="70" t="n"/>
      <c r="C166" s="70" t="n"/>
      <c r="D166" s="70" t="n"/>
      <c r="E166" s="70" t="n"/>
      <c r="F166" s="70" t="n"/>
      <c r="G166" s="70" t="n"/>
      <c r="H166" s="70" t="n"/>
      <c r="I166" s="70" t="n"/>
      <c r="J166" s="70" t="n"/>
      <c r="K166" s="70" t="n"/>
      <c r="L166" s="70" t="n"/>
    </row>
    <row r="167">
      <c r="A167" s="70" t="n"/>
      <c r="B167" s="70" t="n"/>
      <c r="C167" s="70" t="n"/>
      <c r="D167" s="70" t="n"/>
      <c r="E167" s="70" t="n"/>
      <c r="F167" s="70" t="n"/>
      <c r="G167" s="70" t="n"/>
      <c r="H167" s="70" t="n"/>
      <c r="I167" s="70" t="n"/>
      <c r="J167" s="70" t="n"/>
      <c r="K167" s="70" t="n"/>
      <c r="L167" s="70" t="n"/>
    </row>
    <row r="168">
      <c r="A168" s="70" t="n"/>
      <c r="B168" s="70" t="n"/>
      <c r="C168" s="70" t="n"/>
      <c r="D168" s="70" t="n"/>
      <c r="E168" s="70" t="n"/>
      <c r="F168" s="70" t="n"/>
      <c r="G168" s="70" t="n"/>
      <c r="H168" s="70" t="n"/>
      <c r="I168" s="70" t="n"/>
      <c r="J168" s="70" t="n"/>
      <c r="K168" s="70" t="n"/>
      <c r="L168" s="70" t="n"/>
    </row>
    <row r="169">
      <c r="A169" s="70" t="n"/>
      <c r="B169" s="70" t="n"/>
      <c r="C169" s="70" t="n"/>
      <c r="D169" s="70" t="n"/>
      <c r="E169" s="70" t="n"/>
      <c r="F169" s="70" t="n"/>
      <c r="G169" s="70" t="n"/>
      <c r="H169" s="70" t="n"/>
      <c r="I169" s="70" t="n"/>
      <c r="J169" s="70" t="n"/>
      <c r="K169" s="70" t="n"/>
      <c r="L169" s="70" t="n"/>
    </row>
    <row r="170">
      <c r="A170" s="70" t="n"/>
      <c r="B170" s="70" t="n"/>
      <c r="C170" s="70" t="n"/>
      <c r="D170" s="70" t="n"/>
      <c r="E170" s="70" t="n"/>
      <c r="F170" s="70" t="n"/>
      <c r="G170" s="70" t="n"/>
      <c r="H170" s="70" t="n"/>
      <c r="I170" s="70" t="n"/>
      <c r="J170" s="70" t="n"/>
      <c r="K170" s="70" t="n"/>
      <c r="L170" s="70" t="n"/>
    </row>
    <row r="171">
      <c r="A171" s="70" t="n"/>
      <c r="B171" s="70" t="n"/>
      <c r="C171" s="70" t="n"/>
      <c r="D171" s="70" t="n"/>
      <c r="E171" s="70" t="n"/>
      <c r="F171" s="70" t="n"/>
      <c r="G171" s="70" t="n"/>
      <c r="H171" s="70" t="n"/>
      <c r="I171" s="70" t="n"/>
      <c r="J171" s="70" t="n"/>
      <c r="K171" s="70" t="n"/>
      <c r="L171" s="70" t="n"/>
    </row>
    <row r="172">
      <c r="A172" s="70" t="n"/>
      <c r="B172" s="70" t="n"/>
      <c r="C172" s="70" t="n"/>
      <c r="D172" s="70" t="n"/>
      <c r="E172" s="70" t="n"/>
      <c r="F172" s="70" t="n"/>
      <c r="G172" s="70" t="n"/>
      <c r="H172" s="70" t="n"/>
      <c r="I172" s="70" t="n"/>
      <c r="J172" s="70" t="n"/>
      <c r="K172" s="70" t="n"/>
      <c r="L172" s="70" t="n"/>
    </row>
    <row r="173">
      <c r="A173" s="70" t="n"/>
      <c r="B173" s="70" t="n"/>
      <c r="C173" s="70" t="n"/>
      <c r="D173" s="70" t="n"/>
      <c r="E173" s="70" t="n"/>
      <c r="F173" s="70" t="n"/>
      <c r="G173" s="70" t="n"/>
      <c r="H173" s="70" t="n"/>
      <c r="I173" s="70" t="n"/>
      <c r="J173" s="70" t="n"/>
      <c r="K173" s="70" t="n"/>
      <c r="L173" s="70" t="n"/>
    </row>
    <row r="174">
      <c r="A174" s="70" t="n"/>
      <c r="B174" s="70" t="n"/>
      <c r="C174" s="70" t="n"/>
      <c r="D174" s="70" t="n"/>
      <c r="E174" s="70" t="n"/>
      <c r="F174" s="70" t="n"/>
      <c r="G174" s="70" t="n"/>
      <c r="H174" s="70" t="n"/>
      <c r="I174" s="70" t="n"/>
      <c r="J174" s="70" t="n"/>
      <c r="K174" s="70" t="n"/>
      <c r="L174" s="70" t="n"/>
    </row>
    <row r="175">
      <c r="A175" s="70" t="n"/>
      <c r="B175" s="70" t="n"/>
      <c r="C175" s="70" t="n"/>
      <c r="D175" s="70" t="n"/>
      <c r="E175" s="70" t="n"/>
      <c r="F175" s="70" t="n"/>
      <c r="G175" s="70" t="n"/>
      <c r="H175" s="70" t="n"/>
      <c r="I175" s="70" t="n"/>
      <c r="J175" s="70" t="n"/>
      <c r="K175" s="70" t="n"/>
      <c r="L175" s="70" t="n"/>
    </row>
    <row r="176">
      <c r="A176" s="70" t="n"/>
      <c r="B176" s="70" t="n"/>
      <c r="C176" s="70" t="n"/>
      <c r="D176" s="70" t="n"/>
      <c r="E176" s="70" t="n"/>
      <c r="F176" s="70" t="n"/>
      <c r="G176" s="70" t="n"/>
      <c r="H176" s="70" t="n"/>
      <c r="I176" s="70" t="n"/>
      <c r="J176" s="70" t="n"/>
      <c r="K176" s="70" t="n"/>
      <c r="L176" s="70" t="n"/>
    </row>
    <row r="177">
      <c r="A177" s="70" t="n"/>
      <c r="B177" s="70" t="n"/>
      <c r="C177" s="70" t="n"/>
      <c r="D177" s="70" t="n"/>
      <c r="E177" s="70" t="n"/>
      <c r="F177" s="70" t="n"/>
      <c r="G177" s="70" t="n"/>
      <c r="H177" s="70" t="n"/>
      <c r="I177" s="70" t="n"/>
      <c r="J177" s="70" t="n"/>
      <c r="K177" s="70" t="n"/>
      <c r="L177" s="70" t="n"/>
    </row>
    <row r="178">
      <c r="A178" s="70" t="n"/>
      <c r="B178" s="70" t="n"/>
      <c r="C178" s="70" t="n"/>
      <c r="D178" s="70" t="n"/>
      <c r="E178" s="70" t="n"/>
      <c r="F178" s="70" t="n"/>
      <c r="G178" s="70" t="n"/>
      <c r="H178" s="70" t="n"/>
      <c r="I178" s="70" t="n"/>
      <c r="J178" s="70" t="n"/>
      <c r="K178" s="70" t="n"/>
      <c r="L178" s="70" t="n"/>
    </row>
    <row r="179">
      <c r="A179" s="70" t="n"/>
      <c r="B179" s="70" t="n"/>
      <c r="C179" s="70" t="n"/>
      <c r="D179" s="70" t="n"/>
      <c r="E179" s="70" t="n"/>
      <c r="F179" s="70" t="n"/>
      <c r="G179" s="70" t="n"/>
      <c r="H179" s="70" t="n"/>
      <c r="I179" s="70" t="n"/>
      <c r="J179" s="70" t="n"/>
      <c r="K179" s="70" t="n"/>
      <c r="L179" s="70" t="n"/>
    </row>
    <row r="180">
      <c r="A180" s="70" t="n"/>
      <c r="B180" s="70" t="n"/>
      <c r="C180" s="70" t="n"/>
      <c r="D180" s="70" t="n"/>
      <c r="E180" s="70" t="n"/>
      <c r="F180" s="70" t="n"/>
      <c r="G180" s="70" t="n"/>
      <c r="H180" s="70" t="n"/>
      <c r="I180" s="70" t="n"/>
      <c r="J180" s="70" t="n"/>
      <c r="K180" s="70" t="n"/>
      <c r="L180" s="70" t="n"/>
    </row>
    <row r="181">
      <c r="A181" s="70" t="n"/>
      <c r="B181" s="70" t="n"/>
      <c r="C181" s="70" t="n"/>
      <c r="D181" s="70" t="n"/>
      <c r="E181" s="70" t="n"/>
      <c r="F181" s="70" t="n"/>
      <c r="G181" s="70" t="n"/>
      <c r="H181" s="70" t="n"/>
      <c r="I181" s="70" t="n"/>
      <c r="J181" s="70" t="n"/>
      <c r="K181" s="70" t="n"/>
      <c r="L181" s="70" t="n"/>
    </row>
    <row r="182">
      <c r="A182" s="70" t="n"/>
      <c r="B182" s="70" t="n"/>
      <c r="C182" s="70" t="n"/>
      <c r="D182" s="70" t="n"/>
      <c r="E182" s="70" t="n"/>
      <c r="F182" s="70" t="n"/>
      <c r="G182" s="70" t="n"/>
      <c r="H182" s="70" t="n"/>
      <c r="I182" s="70" t="n"/>
      <c r="J182" s="70" t="n"/>
      <c r="K182" s="70" t="n"/>
      <c r="L182" s="70" t="n"/>
    </row>
    <row r="183">
      <c r="A183" s="70" t="n"/>
      <c r="B183" s="70" t="n"/>
      <c r="C183" s="70" t="n"/>
      <c r="D183" s="70" t="n"/>
      <c r="E183" s="70" t="n"/>
      <c r="F183" s="70" t="n"/>
      <c r="G183" s="70" t="n"/>
      <c r="H183" s="70" t="n"/>
      <c r="I183" s="70" t="n"/>
      <c r="J183" s="70" t="n"/>
      <c r="K183" s="70" t="n"/>
      <c r="L183" s="70" t="n"/>
    </row>
    <row r="184">
      <c r="A184" s="70" t="n"/>
      <c r="B184" s="70" t="n"/>
      <c r="C184" s="70" t="n"/>
      <c r="D184" s="70" t="n"/>
      <c r="E184" s="70" t="n"/>
      <c r="F184" s="70" t="n"/>
      <c r="G184" s="70" t="n"/>
      <c r="H184" s="70" t="n"/>
      <c r="I184" s="70" t="n"/>
      <c r="J184" s="70" t="n"/>
      <c r="K184" s="70" t="n"/>
      <c r="L184" s="70" t="n"/>
    </row>
    <row r="185">
      <c r="A185" s="70" t="n"/>
      <c r="B185" s="70" t="n"/>
      <c r="C185" s="70" t="n"/>
      <c r="D185" s="70" t="n"/>
      <c r="E185" s="70" t="n"/>
      <c r="F185" s="70" t="n"/>
      <c r="G185" s="70" t="n"/>
      <c r="H185" s="70" t="n"/>
      <c r="I185" s="70" t="n"/>
      <c r="J185" s="70" t="n"/>
      <c r="K185" s="70" t="n"/>
      <c r="L185" s="70" t="n"/>
    </row>
    <row r="186">
      <c r="A186" s="70" t="n"/>
      <c r="B186" s="70" t="n"/>
      <c r="C186" s="70" t="n"/>
      <c r="D186" s="70" t="n"/>
      <c r="E186" s="70" t="n"/>
      <c r="F186" s="70" t="n"/>
      <c r="G186" s="70" t="n"/>
      <c r="H186" s="70" t="n"/>
      <c r="I186" s="70" t="n"/>
      <c r="J186" s="70" t="n"/>
      <c r="K186" s="70" t="n"/>
      <c r="L186" s="70" t="n"/>
    </row>
    <row r="187">
      <c r="A187" s="70" t="n"/>
      <c r="B187" s="70" t="n"/>
      <c r="C187" s="70" t="n"/>
      <c r="D187" s="70" t="n"/>
      <c r="E187" s="70" t="n"/>
      <c r="F187" s="70" t="n"/>
      <c r="G187" s="70" t="n"/>
      <c r="H187" s="70" t="n"/>
      <c r="I187" s="70" t="n"/>
      <c r="J187" s="70" t="n"/>
      <c r="K187" s="70" t="n"/>
      <c r="L187" s="70" t="n"/>
    </row>
    <row r="188">
      <c r="A188" s="70" t="n"/>
      <c r="B188" s="70" t="n"/>
      <c r="C188" s="70" t="n"/>
      <c r="D188" s="70" t="n"/>
      <c r="E188" s="70" t="n"/>
      <c r="F188" s="70" t="n"/>
      <c r="G188" s="70" t="n"/>
      <c r="H188" s="70" t="n"/>
      <c r="I188" s="70" t="n"/>
      <c r="J188" s="70" t="n"/>
      <c r="K188" s="70" t="n"/>
      <c r="L188" s="70" t="n"/>
    </row>
    <row r="189">
      <c r="A189" s="70" t="n"/>
      <c r="B189" s="70" t="n"/>
      <c r="C189" s="70" t="n"/>
      <c r="D189" s="70" t="n"/>
      <c r="E189" s="70" t="n"/>
      <c r="F189" s="70" t="n"/>
      <c r="G189" s="70" t="n"/>
      <c r="H189" s="70" t="n"/>
      <c r="I189" s="70" t="n"/>
      <c r="J189" s="70" t="n"/>
      <c r="K189" s="70" t="n"/>
      <c r="L189" s="70" t="n"/>
    </row>
    <row r="190">
      <c r="A190" s="70" t="n"/>
      <c r="B190" s="70" t="n"/>
      <c r="C190" s="70" t="n"/>
      <c r="D190" s="70" t="n"/>
      <c r="E190" s="70" t="n"/>
      <c r="F190" s="70" t="n"/>
      <c r="G190" s="70" t="n"/>
      <c r="H190" s="70" t="n"/>
      <c r="I190" s="70" t="n"/>
      <c r="J190" s="70" t="n"/>
      <c r="K190" s="70" t="n"/>
      <c r="L190" s="70" t="n"/>
    </row>
    <row r="191">
      <c r="A191" s="70" t="n"/>
      <c r="B191" s="70" t="n"/>
      <c r="C191" s="70" t="n"/>
      <c r="D191" s="70" t="n"/>
      <c r="E191" s="70" t="n"/>
      <c r="F191" s="70" t="n"/>
      <c r="G191" s="70" t="n"/>
      <c r="H191" s="70" t="n"/>
      <c r="I191" s="70" t="n"/>
      <c r="J191" s="70" t="n"/>
      <c r="K191" s="70" t="n"/>
      <c r="L191" s="70" t="n"/>
    </row>
    <row r="192">
      <c r="A192" s="70" t="n"/>
      <c r="B192" s="70" t="n"/>
      <c r="C192" s="70" t="n"/>
      <c r="D192" s="70" t="n"/>
      <c r="E192" s="70" t="n"/>
      <c r="F192" s="70" t="n"/>
      <c r="G192" s="70" t="n"/>
      <c r="H192" s="70" t="n"/>
      <c r="I192" s="70" t="n"/>
      <c r="J192" s="70" t="n"/>
      <c r="K192" s="70" t="n"/>
      <c r="L192" s="70" t="n"/>
    </row>
    <row r="193">
      <c r="A193" s="70" t="n"/>
      <c r="B193" s="70" t="n"/>
      <c r="C193" s="70" t="n"/>
      <c r="D193" s="70" t="n"/>
      <c r="E193" s="70" t="n"/>
      <c r="F193" s="70" t="n"/>
      <c r="G193" s="70" t="n"/>
      <c r="H193" s="70" t="n"/>
      <c r="I193" s="70" t="n"/>
      <c r="J193" s="70" t="n"/>
      <c r="K193" s="70" t="n"/>
      <c r="L193" s="70" t="n"/>
    </row>
    <row r="194">
      <c r="A194" s="70" t="n"/>
      <c r="B194" s="70" t="n"/>
      <c r="C194" s="70" t="n"/>
      <c r="D194" s="70" t="n"/>
      <c r="E194" s="70" t="n"/>
      <c r="F194" s="70" t="n"/>
      <c r="G194" s="70" t="n"/>
      <c r="H194" s="70" t="n"/>
      <c r="I194" s="70" t="n"/>
      <c r="J194" s="70" t="n"/>
      <c r="K194" s="70" t="n"/>
      <c r="L194" s="70" t="n"/>
    </row>
    <row r="195">
      <c r="A195" s="70" t="n"/>
      <c r="B195" s="70" t="n"/>
      <c r="C195" s="70" t="n"/>
      <c r="D195" s="70" t="n"/>
      <c r="E195" s="70" t="n"/>
      <c r="F195" s="70" t="n"/>
      <c r="G195" s="70" t="n"/>
      <c r="H195" s="70" t="n"/>
      <c r="I195" s="70" t="n"/>
      <c r="J195" s="70" t="n"/>
      <c r="K195" s="70" t="n"/>
      <c r="L195" s="70" t="n"/>
    </row>
    <row r="196">
      <c r="A196" s="70" t="n"/>
      <c r="B196" s="70" t="n"/>
      <c r="C196" s="70" t="n"/>
      <c r="D196" s="70" t="n"/>
      <c r="E196" s="70" t="n"/>
      <c r="F196" s="70" t="n"/>
      <c r="G196" s="70" t="n"/>
      <c r="H196" s="70" t="n"/>
      <c r="I196" s="70" t="n"/>
      <c r="J196" s="70" t="n"/>
      <c r="K196" s="70" t="n"/>
      <c r="L196" s="70" t="n"/>
    </row>
    <row r="197">
      <c r="A197" s="70" t="n"/>
      <c r="B197" s="70" t="n"/>
      <c r="C197" s="70" t="n"/>
      <c r="D197" s="70" t="n"/>
      <c r="E197" s="70" t="n"/>
      <c r="F197" s="70" t="n"/>
      <c r="G197" s="70" t="n"/>
      <c r="H197" s="70" t="n"/>
      <c r="I197" s="70" t="n"/>
      <c r="J197" s="70" t="n"/>
      <c r="K197" s="70" t="n"/>
      <c r="L197" s="70" t="n"/>
    </row>
    <row r="198">
      <c r="A198" s="70" t="n"/>
      <c r="B198" s="70" t="n"/>
      <c r="C198" s="70" t="n"/>
      <c r="D198" s="70" t="n"/>
      <c r="E198" s="70" t="n"/>
      <c r="F198" s="70" t="n"/>
      <c r="G198" s="70" t="n"/>
      <c r="H198" s="70" t="n"/>
      <c r="I198" s="70" t="n"/>
      <c r="J198" s="70" t="n"/>
      <c r="K198" s="70" t="n"/>
      <c r="L198" s="70" t="n"/>
    </row>
    <row r="199">
      <c r="A199" s="70" t="n"/>
      <c r="B199" s="70" t="n"/>
      <c r="C199" s="70" t="n"/>
      <c r="D199" s="70" t="n"/>
      <c r="E199" s="70" t="n"/>
      <c r="F199" s="70" t="n"/>
      <c r="G199" s="70" t="n"/>
      <c r="H199" s="70" t="n"/>
      <c r="I199" s="70" t="n"/>
      <c r="J199" s="70" t="n"/>
      <c r="K199" s="70" t="n"/>
      <c r="L199" s="70" t="n"/>
    </row>
    <row r="200">
      <c r="A200" s="70" t="n"/>
      <c r="B200" s="70" t="n"/>
      <c r="C200" s="70" t="n"/>
      <c r="D200" s="70" t="n"/>
      <c r="E200" s="70" t="n"/>
      <c r="F200" s="70" t="n"/>
      <c r="G200" s="70" t="n"/>
      <c r="H200" s="70" t="n"/>
      <c r="I200" s="70" t="n"/>
      <c r="J200" s="70" t="n"/>
      <c r="K200" s="70" t="n"/>
      <c r="L200" s="70" t="n"/>
    </row>
    <row r="201">
      <c r="A201" s="117" t="n">
        <v>46175.45418915509</v>
      </c>
      <c r="B201" t="inlineStr">
        <is>
          <t>LIMP-006</t>
        </is>
      </c>
      <c r="C201" t="inlineStr">
        <is>
          <t>Limpa-vidros</t>
        </is>
      </c>
      <c r="D201" t="inlineStr">
        <is>
          <t>Compra</t>
        </is>
      </c>
      <c r="E201" t="n">
        <v>10</v>
      </c>
      <c r="F201" t="inlineStr">
        <is>
          <t>Luciana</t>
        </is>
      </c>
      <c r="G201" t="n">
        <v>1.2</v>
      </c>
      <c r="H201" t="n">
        <v>12</v>
      </c>
      <c r="I201" t="inlineStr">
        <is>
          <t>Movimento registrado pelo sistema</t>
        </is>
      </c>
      <c r="J201" t="inlineStr">
        <is>
          <t>LIMP-006|Compra</t>
        </is>
      </c>
    </row>
    <row r="202">
      <c r="A202" s="117" t="n">
        <v>46175.45445240741</v>
      </c>
      <c r="B202" t="inlineStr">
        <is>
          <t>LIMP-008</t>
        </is>
      </c>
      <c r="C202" t="inlineStr">
        <is>
          <t>Sabão em pó</t>
        </is>
      </c>
      <c r="D202" t="inlineStr">
        <is>
          <t>Compra</t>
        </is>
      </c>
      <c r="E202" t="n">
        <v>10</v>
      </c>
      <c r="F202" t="inlineStr">
        <is>
          <t>Rafael</t>
        </is>
      </c>
      <c r="G202" t="n">
        <v>2</v>
      </c>
      <c r="H202" t="n">
        <v>20</v>
      </c>
      <c r="I202" t="inlineStr">
        <is>
          <t>Movimento registrado pelo sistema</t>
        </is>
      </c>
      <c r="J202" t="inlineStr">
        <is>
          <t>LIMP-008|Compra</t>
        </is>
      </c>
    </row>
  </sheetData>
  <conditionalFormatting sqref="D2:D121">
    <cfRule type="expression" priority="1" dxfId="3">
      <formula>D2="Compra"</formula>
    </cfRule>
    <cfRule type="expression" priority="2" dxfId="4">
      <formula>D2="Retirada"</formula>
    </cfRule>
  </conditionalFormatting>
  <dataValidations count="3">
    <dataValidation sqref="B2:B121" showDropDown="0" showInputMessage="0" showErrorMessage="0" allowBlank="0" type="list">
      <formula1>Estoque!$A$2:$A$121</formula1>
    </dataValidation>
    <dataValidation sqref="D2:D121" showDropDown="0" showInputMessage="0" showErrorMessage="0" allowBlank="0" type="list">
      <formula1>Listas!$E$2:$E$5</formula1>
    </dataValidation>
    <dataValidation sqref="F2:F121" showDropDown="0" showInputMessage="0" showErrorMessage="0" allowBlank="0" type="list">
      <formula1>Listas!$G$2:$G$5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6.29000091552734" customWidth="1" style="94" min="1" max="1"/>
    <col width="7.670000076293945" customWidth="1" style="94" min="3" max="3"/>
    <col width="16.69000053405762" customWidth="1" style="94" min="5" max="5"/>
    <col width="10.89999961853027" customWidth="1" style="94" min="7" max="7"/>
  </cols>
  <sheetData>
    <row r="1">
      <c r="A1" s="6" t="inlineStr">
        <is>
          <t>Categorias</t>
        </is>
      </c>
      <c r="C1" s="6" t="inlineStr">
        <is>
          <t>Unidades</t>
        </is>
      </c>
      <c r="E1" s="6" t="inlineStr">
        <is>
          <t>Tipos de movimento</t>
        </is>
      </c>
      <c r="G1" s="6" t="inlineStr">
        <is>
          <t>Responsáveis</t>
        </is>
      </c>
    </row>
    <row r="2">
      <c r="A2" t="inlineStr">
        <is>
          <t>Desinfetante</t>
        </is>
      </c>
      <c r="C2" t="inlineStr">
        <is>
          <t>un</t>
        </is>
      </c>
      <c r="E2" t="inlineStr">
        <is>
          <t>Compra</t>
        </is>
      </c>
      <c r="G2" t="inlineStr">
        <is>
          <t>Rafael</t>
        </is>
      </c>
    </row>
    <row r="3">
      <c r="A3" t="inlineStr">
        <is>
          <t>Detergente</t>
        </is>
      </c>
      <c r="C3" t="inlineStr">
        <is>
          <t>L</t>
        </is>
      </c>
      <c r="E3" t="inlineStr">
        <is>
          <t>Retirada</t>
        </is>
      </c>
      <c r="G3" t="inlineStr">
        <is>
          <t>Funcionário</t>
        </is>
      </c>
    </row>
    <row r="4">
      <c r="A4" t="inlineStr">
        <is>
          <t>Desengordurante</t>
        </is>
      </c>
      <c r="C4" t="inlineStr">
        <is>
          <t>ml</t>
        </is>
      </c>
      <c r="E4" t="inlineStr">
        <is>
          <t>Ajuste +</t>
        </is>
      </c>
      <c r="G4" t="inlineStr">
        <is>
          <t>Cliente</t>
        </is>
      </c>
    </row>
    <row r="5">
      <c r="A5" t="inlineStr">
        <is>
          <t>Álcool</t>
        </is>
      </c>
      <c r="C5" t="inlineStr">
        <is>
          <t>kg</t>
        </is>
      </c>
      <c r="E5" t="inlineStr">
        <is>
          <t>Ajuste -</t>
        </is>
      </c>
      <c r="G5" t="inlineStr">
        <is>
          <t>Outro</t>
        </is>
      </c>
    </row>
    <row r="6">
      <c r="A6" t="inlineStr">
        <is>
          <t>Lava-roupas</t>
        </is>
      </c>
      <c r="C6" t="inlineStr">
        <is>
          <t>g</t>
        </is>
      </c>
    </row>
    <row r="7">
      <c r="A7" t="inlineStr">
        <is>
          <t>Amaciante</t>
        </is>
      </c>
      <c r="C7" t="inlineStr">
        <is>
          <t>pacote</t>
        </is>
      </c>
    </row>
    <row r="8">
      <c r="A8" t="inlineStr">
        <is>
          <t>Cloro/Água sanitária</t>
        </is>
      </c>
      <c r="C8" t="inlineStr">
        <is>
          <t>caixa</t>
        </is>
      </c>
    </row>
    <row r="9">
      <c r="A9" t="inlineStr">
        <is>
          <t>Multiuso</t>
        </is>
      </c>
      <c r="C9" t="inlineStr">
        <is>
          <t>rolo</t>
        </is>
      </c>
    </row>
    <row r="10">
      <c r="A10" t="inlineStr">
        <is>
          <t>Limpa-vidros</t>
        </is>
      </c>
      <c r="C10" t="inlineStr">
        <is>
          <t>par</t>
        </is>
      </c>
    </row>
    <row r="11">
      <c r="A11" t="inlineStr">
        <is>
          <t>Cera/Polidor</t>
        </is>
      </c>
      <c r="C11" t="inlineStr">
        <is>
          <t>fardo</t>
        </is>
      </c>
    </row>
    <row r="12">
      <c r="A12" t="inlineStr">
        <is>
          <t>Aromatizador</t>
        </is>
      </c>
    </row>
    <row r="13">
      <c r="A13" t="inlineStr">
        <is>
          <t>Material descartável</t>
        </is>
      </c>
    </row>
    <row r="14">
      <c r="A14" t="inlineStr">
        <is>
          <t>EPI</t>
        </is>
      </c>
    </row>
    <row r="15">
      <c r="A15" t="inlineStr">
        <is>
          <t>Acessórios</t>
        </is>
      </c>
    </row>
    <row r="16">
      <c r="A16" t="inlineStr">
        <is>
          <t>Panos/Esponjas</t>
        </is>
      </c>
    </row>
    <row r="17">
      <c r="A17" t="inlineStr">
        <is>
          <t>Sacos de lixo</t>
        </is>
      </c>
    </row>
    <row r="18">
      <c r="A18" t="inlineStr">
        <is>
          <t>Outros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0"/>
  <sheetViews>
    <sheetView workbookViewId="0">
      <selection activeCell="A1" sqref="A1"/>
    </sheetView>
  </sheetViews>
  <sheetFormatPr baseColWidth="8" defaultRowHeight="15"/>
  <cols>
    <col width="10" customWidth="1" style="94" min="1" max="1"/>
    <col width="25" customWidth="1" style="94" min="2" max="2"/>
    <col width="95" customWidth="1" style="94" min="3" max="3"/>
  </cols>
  <sheetData>
    <row r="1">
      <c r="A1" s="35" t="inlineStr">
        <is>
          <t>Como usar a planilha</t>
        </is>
      </c>
      <c r="B1" s="1" t="n"/>
      <c r="C1" s="1" t="n"/>
      <c r="D1" s="70" t="n"/>
      <c r="E1" s="70" t="n"/>
      <c r="F1" s="70" t="n"/>
      <c r="G1" s="70" t="n"/>
      <c r="H1" s="70" t="n"/>
      <c r="I1" s="70" t="n"/>
      <c r="J1" s="70" t="n"/>
      <c r="K1" s="70" t="n"/>
      <c r="L1" s="70" t="n"/>
    </row>
    <row r="2">
      <c r="A2" s="70" t="n"/>
      <c r="B2" s="70" t="n"/>
      <c r="C2" s="70" t="n"/>
      <c r="D2" s="70" t="n"/>
      <c r="E2" s="70" t="n"/>
      <c r="F2" s="70" t="n"/>
      <c r="G2" s="70" t="n"/>
      <c r="H2" s="70" t="n"/>
      <c r="I2" s="70" t="n"/>
      <c r="J2" s="70" t="n"/>
      <c r="K2" s="70" t="n"/>
      <c r="L2" s="70" t="n"/>
    </row>
    <row r="3">
      <c r="A3" s="6" t="inlineStr">
        <is>
          <t>Passo</t>
        </is>
      </c>
      <c r="B3" s="6" t="inlineStr">
        <is>
          <t>Ação</t>
        </is>
      </c>
      <c r="C3" s="6" t="inlineStr">
        <is>
          <t>Descrição</t>
        </is>
      </c>
      <c r="D3" s="70" t="n"/>
      <c r="E3" s="70" t="n"/>
      <c r="F3" s="70" t="n"/>
      <c r="G3" s="70" t="n"/>
      <c r="H3" s="70" t="n"/>
      <c r="I3" s="70" t="n"/>
      <c r="J3" s="70" t="n"/>
      <c r="K3" s="70" t="n"/>
      <c r="L3" s="70" t="n"/>
    </row>
    <row r="4">
      <c r="A4" s="71" t="inlineStr">
        <is>
          <t>1</t>
        </is>
      </c>
      <c r="B4" s="71" t="inlineStr">
        <is>
          <t>Cadastrar produtos</t>
        </is>
      </c>
      <c r="C4" s="71" t="inlineStr">
        <is>
          <t>Na aba Estoque, adicione produtos nas linhas em branco. Preencha Código, Produto, Categoria, Unidade, Estoque Inicial e Estoque Mínimo.</t>
        </is>
      </c>
      <c r="D4" s="70" t="n"/>
      <c r="E4" s="70" t="n"/>
      <c r="F4" s="70" t="n"/>
      <c r="G4" s="70" t="n"/>
      <c r="H4" s="70" t="n"/>
      <c r="I4" s="70" t="n"/>
      <c r="J4" s="70" t="n"/>
      <c r="K4" s="70" t="n"/>
      <c r="L4" s="70" t="n"/>
    </row>
    <row r="5">
      <c r="A5" s="71" t="inlineStr">
        <is>
          <t>2</t>
        </is>
      </c>
      <c r="B5" s="71" t="inlineStr">
        <is>
          <t>Registrar compras</t>
        </is>
      </c>
      <c r="C5" s="71" t="inlineStr">
        <is>
          <t>Na aba Movimentos, coloque a data, escolha o código, selecione Tipo = Compra e informe a quantidade. O estoque aumenta automaticamente.</t>
        </is>
      </c>
      <c r="D5" s="70" t="n"/>
      <c r="E5" s="70" t="n"/>
      <c r="F5" s="70" t="n"/>
      <c r="G5" s="70" t="n"/>
      <c r="H5" s="70" t="n"/>
      <c r="I5" s="70" t="n"/>
      <c r="J5" s="70" t="n"/>
      <c r="K5" s="70" t="n"/>
      <c r="L5" s="70" t="n"/>
    </row>
    <row r="6">
      <c r="A6" s="71" t="inlineStr">
        <is>
          <t>3</t>
        </is>
      </c>
      <c r="B6" s="71" t="inlineStr">
        <is>
          <t>Registrar retirada/uso</t>
        </is>
      </c>
      <c r="C6" s="71" t="inlineStr">
        <is>
          <t>Na aba Movimentos, escolha Tipo = Retirada e informe a quantidade usada. O estoque diminui automaticamente.</t>
        </is>
      </c>
      <c r="D6" s="70" t="n"/>
      <c r="E6" s="70" t="n"/>
      <c r="F6" s="70" t="n"/>
      <c r="G6" s="70" t="n"/>
      <c r="H6" s="70" t="n"/>
      <c r="I6" s="70" t="n"/>
      <c r="J6" s="70" t="n"/>
      <c r="K6" s="70" t="n"/>
      <c r="L6" s="70" t="n"/>
    </row>
    <row r="7">
      <c r="A7" s="71" t="inlineStr">
        <is>
          <t>4</t>
        </is>
      </c>
      <c r="B7" s="71" t="inlineStr">
        <is>
          <t>Corrigir contagem</t>
        </is>
      </c>
      <c r="C7" s="71" t="inlineStr">
        <is>
          <t>Use Ajuste + ou Ajuste - quando fizer uma contagem manual e precisar corrigir o saldo.</t>
        </is>
      </c>
      <c r="D7" s="70" t="n"/>
      <c r="E7" s="70" t="n"/>
      <c r="F7" s="70" t="n"/>
      <c r="G7" s="70" t="n"/>
      <c r="H7" s="70" t="n"/>
      <c r="I7" s="70" t="n"/>
      <c r="J7" s="70" t="n"/>
      <c r="K7" s="70" t="n"/>
      <c r="L7" s="70" t="n"/>
    </row>
    <row r="8">
      <c r="A8" s="71" t="inlineStr">
        <is>
          <t>5</t>
        </is>
      </c>
      <c r="B8" s="71" t="inlineStr">
        <is>
          <t>Ver o que falta comprar</t>
        </is>
      </c>
      <c r="C8" s="71" t="inlineStr">
        <is>
          <t>Veja a coluna Comprar? na aba Estoque ou a Lista rápida para comprar no Dashboard.</t>
        </is>
      </c>
      <c r="D8" s="70" t="n"/>
      <c r="E8" s="70" t="n"/>
      <c r="F8" s="70" t="n"/>
      <c r="G8" s="70" t="n"/>
      <c r="H8" s="70" t="n"/>
      <c r="I8" s="70" t="n"/>
      <c r="J8" s="70" t="n"/>
      <c r="K8" s="70" t="n"/>
      <c r="L8" s="70" t="n"/>
    </row>
    <row r="9">
      <c r="A9" s="71" t="inlineStr">
        <is>
          <t>6</t>
        </is>
      </c>
      <c r="B9" s="71" t="inlineStr">
        <is>
          <t>Não editar colunas automáticas</t>
        </is>
      </c>
      <c r="C9" s="71" t="inlineStr">
        <is>
          <t>Evite alterar as colunas Entradas, Saídas, Estoque Atual, Comprar?, Produto e Total Compra, pois elas têm fórmulas.</t>
        </is>
      </c>
      <c r="D9" s="70" t="n"/>
      <c r="E9" s="70" t="n"/>
      <c r="F9" s="70" t="n"/>
      <c r="G9" s="70" t="n"/>
      <c r="H9" s="70" t="n"/>
      <c r="I9" s="70" t="n"/>
      <c r="J9" s="70" t="n"/>
      <c r="K9" s="70" t="n"/>
      <c r="L9" s="70" t="n"/>
    </row>
    <row r="10">
      <c r="A10" s="71" t="n"/>
      <c r="B10" s="71" t="n"/>
      <c r="C10" s="71" t="n"/>
      <c r="D10" s="70" t="n"/>
      <c r="E10" s="70" t="n"/>
      <c r="F10" s="70" t="n"/>
      <c r="G10" s="70" t="n"/>
      <c r="H10" s="70" t="n"/>
      <c r="I10" s="70" t="n"/>
      <c r="J10" s="70" t="n"/>
      <c r="K10" s="70" t="n"/>
      <c r="L10" s="70" t="n"/>
    </row>
    <row r="11">
      <c r="A11" s="71" t="n"/>
      <c r="B11" s="71" t="n"/>
      <c r="C11" s="71" t="n"/>
      <c r="D11" s="70" t="n"/>
      <c r="E11" s="70" t="n"/>
      <c r="F11" s="70" t="n"/>
      <c r="G11" s="70" t="n"/>
      <c r="H11" s="70" t="n"/>
      <c r="I11" s="70" t="n"/>
      <c r="J11" s="70" t="n"/>
      <c r="K11" s="70" t="n"/>
      <c r="L11" s="70" t="n"/>
    </row>
    <row r="12">
      <c r="A12" s="71" t="n"/>
      <c r="B12" s="71" t="n"/>
      <c r="C12" s="71" t="n"/>
      <c r="D12" s="70" t="n"/>
      <c r="E12" s="70" t="n"/>
      <c r="F12" s="70" t="n"/>
      <c r="G12" s="70" t="n"/>
      <c r="H12" s="70" t="n"/>
      <c r="I12" s="70" t="n"/>
      <c r="J12" s="70" t="n"/>
      <c r="K12" s="70" t="n"/>
      <c r="L12" s="70" t="n"/>
    </row>
    <row r="13">
      <c r="A13" s="71" t="n"/>
      <c r="B13" s="71" t="n"/>
      <c r="C13" s="71" t="n"/>
      <c r="D13" s="70" t="n"/>
      <c r="E13" s="70" t="n"/>
      <c r="F13" s="70" t="n"/>
      <c r="G13" s="70" t="n"/>
      <c r="H13" s="70" t="n"/>
      <c r="I13" s="70" t="n"/>
      <c r="J13" s="70" t="n"/>
      <c r="K13" s="70" t="n"/>
      <c r="L13" s="70" t="n"/>
    </row>
    <row r="14">
      <c r="A14" s="71" t="n"/>
      <c r="B14" s="71" t="n"/>
      <c r="C14" s="71" t="n"/>
      <c r="D14" s="70" t="n"/>
      <c r="E14" s="70" t="n"/>
      <c r="F14" s="70" t="n"/>
      <c r="G14" s="70" t="n"/>
      <c r="H14" s="70" t="n"/>
      <c r="I14" s="70" t="n"/>
      <c r="J14" s="70" t="n"/>
      <c r="K14" s="70" t="n"/>
      <c r="L14" s="70" t="n"/>
    </row>
    <row r="15">
      <c r="A15" s="71" t="n"/>
      <c r="B15" s="71" t="n"/>
      <c r="C15" s="71" t="n"/>
      <c r="D15" s="70" t="n"/>
      <c r="E15" s="70" t="n"/>
      <c r="F15" s="70" t="n"/>
      <c r="G15" s="70" t="n"/>
      <c r="H15" s="70" t="n"/>
      <c r="I15" s="70" t="n"/>
      <c r="J15" s="70" t="n"/>
      <c r="K15" s="70" t="n"/>
      <c r="L15" s="70" t="n"/>
    </row>
    <row r="16">
      <c r="A16" s="71" t="n"/>
      <c r="B16" s="71" t="n"/>
      <c r="C16" s="71" t="n"/>
      <c r="D16" s="70" t="n"/>
      <c r="E16" s="70" t="n"/>
      <c r="F16" s="70" t="n"/>
      <c r="G16" s="70" t="n"/>
      <c r="H16" s="70" t="n"/>
      <c r="I16" s="70" t="n"/>
      <c r="J16" s="70" t="n"/>
      <c r="K16" s="70" t="n"/>
      <c r="L16" s="70" t="n"/>
    </row>
    <row r="17">
      <c r="A17" s="71" t="n"/>
      <c r="B17" s="71" t="n"/>
      <c r="C17" s="71" t="n"/>
      <c r="D17" s="70" t="n"/>
      <c r="E17" s="70" t="n"/>
      <c r="F17" s="70" t="n"/>
      <c r="G17" s="70" t="n"/>
      <c r="H17" s="70" t="n"/>
      <c r="I17" s="70" t="n"/>
      <c r="J17" s="70" t="n"/>
      <c r="K17" s="70" t="n"/>
      <c r="L17" s="70" t="n"/>
    </row>
    <row r="18">
      <c r="A18" s="71" t="n"/>
      <c r="B18" s="71" t="n"/>
      <c r="C18" s="71" t="n"/>
      <c r="D18" s="70" t="n"/>
      <c r="E18" s="70" t="n"/>
      <c r="F18" s="70" t="n"/>
      <c r="G18" s="70" t="n"/>
      <c r="H18" s="70" t="n"/>
      <c r="I18" s="70" t="n"/>
      <c r="J18" s="70" t="n"/>
      <c r="K18" s="70" t="n"/>
      <c r="L18" s="70" t="n"/>
    </row>
    <row r="19">
      <c r="A19" s="71" t="n"/>
      <c r="B19" s="71" t="n"/>
      <c r="C19" s="71" t="n"/>
      <c r="D19" s="70" t="n"/>
      <c r="E19" s="70" t="n"/>
      <c r="F19" s="70" t="n"/>
      <c r="G19" s="70" t="n"/>
      <c r="H19" s="70" t="n"/>
      <c r="I19" s="70" t="n"/>
      <c r="J19" s="70" t="n"/>
      <c r="K19" s="70" t="n"/>
      <c r="L19" s="70" t="n"/>
    </row>
    <row r="20">
      <c r="A20" s="71" t="n"/>
      <c r="B20" s="71" t="n"/>
      <c r="C20" s="71" t="n"/>
      <c r="D20" s="70" t="n"/>
      <c r="E20" s="70" t="n"/>
      <c r="F20" s="70" t="n"/>
      <c r="G20" s="70" t="n"/>
      <c r="H20" s="70" t="n"/>
      <c r="I20" s="70" t="n"/>
      <c r="J20" s="70" t="n"/>
      <c r="K20" s="70" t="n"/>
      <c r="L20" s="70" t="n"/>
    </row>
    <row r="21">
      <c r="A21" s="70" t="n"/>
      <c r="B21" s="70" t="n"/>
      <c r="C21" s="70" t="n"/>
      <c r="D21" s="70" t="n"/>
      <c r="E21" s="70" t="n"/>
      <c r="F21" s="70" t="n"/>
      <c r="G21" s="70" t="n"/>
      <c r="H21" s="70" t="n"/>
      <c r="I21" s="70" t="n"/>
      <c r="J21" s="70" t="n"/>
      <c r="K21" s="70" t="n"/>
      <c r="L21" s="70" t="n"/>
    </row>
    <row r="22">
      <c r="A22" s="70" t="n"/>
      <c r="B22" s="70" t="n"/>
      <c r="C22" s="70" t="n"/>
      <c r="D22" s="70" t="n"/>
      <c r="E22" s="70" t="n"/>
      <c r="F22" s="70" t="n"/>
      <c r="G22" s="70" t="n"/>
      <c r="H22" s="70" t="n"/>
      <c r="I22" s="70" t="n"/>
      <c r="J22" s="70" t="n"/>
      <c r="K22" s="70" t="n"/>
      <c r="L22" s="70" t="n"/>
    </row>
    <row r="23">
      <c r="A23" s="70" t="n"/>
      <c r="B23" s="70" t="n"/>
      <c r="C23" s="70" t="n"/>
      <c r="D23" s="70" t="n"/>
      <c r="E23" s="70" t="n"/>
      <c r="F23" s="70" t="n"/>
      <c r="G23" s="70" t="n"/>
      <c r="H23" s="70" t="n"/>
      <c r="I23" s="70" t="n"/>
      <c r="J23" s="70" t="n"/>
      <c r="K23" s="70" t="n"/>
      <c r="L23" s="70" t="n"/>
    </row>
    <row r="24">
      <c r="A24" s="70" t="n"/>
      <c r="B24" s="70" t="n"/>
      <c r="C24" s="70" t="n"/>
      <c r="D24" s="70" t="n"/>
      <c r="E24" s="70" t="n"/>
      <c r="F24" s="70" t="n"/>
      <c r="G24" s="70" t="n"/>
      <c r="H24" s="70" t="n"/>
      <c r="I24" s="70" t="n"/>
      <c r="J24" s="70" t="n"/>
      <c r="K24" s="70" t="n"/>
      <c r="L24" s="70" t="n"/>
    </row>
    <row r="25">
      <c r="A25" s="70" t="n"/>
      <c r="B25" s="70" t="n"/>
      <c r="C25" s="70" t="n"/>
      <c r="D25" s="70" t="n"/>
      <c r="E25" s="70" t="n"/>
      <c r="F25" s="70" t="n"/>
      <c r="G25" s="70" t="n"/>
      <c r="H25" s="70" t="n"/>
      <c r="I25" s="70" t="n"/>
      <c r="J25" s="70" t="n"/>
      <c r="K25" s="70" t="n"/>
      <c r="L25" s="70" t="n"/>
    </row>
    <row r="26">
      <c r="A26" s="70" t="n"/>
      <c r="B26" s="70" t="n"/>
      <c r="C26" s="70" t="n"/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</row>
    <row r="27">
      <c r="A27" s="70" t="n"/>
      <c r="B27" s="70" t="n"/>
      <c r="C27" s="70" t="n"/>
      <c r="D27" s="70" t="n"/>
      <c r="E27" s="70" t="n"/>
      <c r="F27" s="70" t="n"/>
      <c r="G27" s="70" t="n"/>
      <c r="H27" s="70" t="n"/>
      <c r="I27" s="70" t="n"/>
      <c r="J27" s="70" t="n"/>
      <c r="K27" s="70" t="n"/>
      <c r="L27" s="70" t="n"/>
    </row>
    <row r="28">
      <c r="A28" s="70" t="n"/>
      <c r="B28" s="70" t="n"/>
      <c r="C28" s="70" t="n"/>
      <c r="D28" s="70" t="n"/>
      <c r="E28" s="70" t="n"/>
      <c r="F28" s="70" t="n"/>
      <c r="G28" s="70" t="n"/>
      <c r="H28" s="70" t="n"/>
      <c r="I28" s="70" t="n"/>
      <c r="J28" s="70" t="n"/>
      <c r="K28" s="70" t="n"/>
      <c r="L28" s="70" t="n"/>
    </row>
    <row r="29">
      <c r="A29" s="70" t="n"/>
      <c r="B29" s="70" t="n"/>
      <c r="C29" s="70" t="n"/>
      <c r="D29" s="70" t="n"/>
      <c r="E29" s="70" t="n"/>
      <c r="F29" s="70" t="n"/>
      <c r="G29" s="70" t="n"/>
      <c r="H29" s="70" t="n"/>
      <c r="I29" s="70" t="n"/>
      <c r="J29" s="70" t="n"/>
      <c r="K29" s="70" t="n"/>
      <c r="L29" s="70" t="n"/>
    </row>
    <row r="30">
      <c r="A30" s="70" t="n"/>
      <c r="B30" s="70" t="n"/>
      <c r="C30" s="70" t="n"/>
      <c r="D30" s="70" t="n"/>
      <c r="E30" s="70" t="n"/>
      <c r="F30" s="70" t="n"/>
      <c r="G30" s="70" t="n"/>
      <c r="H30" s="70" t="n"/>
      <c r="I30" s="70" t="n"/>
      <c r="J30" s="70" t="n"/>
      <c r="K30" s="70" t="n"/>
      <c r="L30" s="70" t="n"/>
    </row>
    <row r="31">
      <c r="A31" s="70" t="n"/>
      <c r="B31" s="70" t="n"/>
      <c r="C31" s="70" t="n"/>
      <c r="D31" s="70" t="n"/>
      <c r="E31" s="70" t="n"/>
      <c r="F31" s="70" t="n"/>
      <c r="G31" s="70" t="n"/>
      <c r="H31" s="70" t="n"/>
      <c r="I31" s="70" t="n"/>
      <c r="J31" s="70" t="n"/>
      <c r="K31" s="70" t="n"/>
      <c r="L31" s="70" t="n"/>
    </row>
    <row r="32">
      <c r="A32" s="70" t="n"/>
      <c r="B32" s="70" t="n"/>
      <c r="C32" s="70" t="n"/>
      <c r="D32" s="70" t="n"/>
      <c r="E32" s="70" t="n"/>
      <c r="F32" s="70" t="n"/>
      <c r="G32" s="70" t="n"/>
      <c r="H32" s="70" t="n"/>
      <c r="I32" s="70" t="n"/>
      <c r="J32" s="70" t="n"/>
      <c r="K32" s="70" t="n"/>
      <c r="L32" s="70" t="n"/>
    </row>
    <row r="33">
      <c r="A33" s="70" t="n"/>
      <c r="B33" s="70" t="n"/>
      <c r="C33" s="70" t="n"/>
      <c r="D33" s="70" t="n"/>
      <c r="E33" s="70" t="n"/>
      <c r="F33" s="70" t="n"/>
      <c r="G33" s="70" t="n"/>
      <c r="H33" s="70" t="n"/>
      <c r="I33" s="70" t="n"/>
      <c r="J33" s="70" t="n"/>
      <c r="K33" s="70" t="n"/>
      <c r="L33" s="70" t="n"/>
    </row>
    <row r="34">
      <c r="A34" s="70" t="n"/>
      <c r="B34" s="70" t="n"/>
      <c r="C34" s="70" t="n"/>
      <c r="D34" s="70" t="n"/>
      <c r="E34" s="70" t="n"/>
      <c r="F34" s="70" t="n"/>
      <c r="G34" s="70" t="n"/>
      <c r="H34" s="70" t="n"/>
      <c r="I34" s="70" t="n"/>
      <c r="J34" s="70" t="n"/>
      <c r="K34" s="70" t="n"/>
      <c r="L34" s="70" t="n"/>
    </row>
    <row r="35">
      <c r="A35" s="70" t="n"/>
      <c r="B35" s="70" t="n"/>
      <c r="C35" s="70" t="n"/>
      <c r="D35" s="70" t="n"/>
      <c r="E35" s="70" t="n"/>
      <c r="F35" s="70" t="n"/>
      <c r="G35" s="70" t="n"/>
      <c r="H35" s="70" t="n"/>
      <c r="I35" s="70" t="n"/>
      <c r="J35" s="70" t="n"/>
      <c r="K35" s="70" t="n"/>
      <c r="L35" s="70" t="n"/>
    </row>
    <row r="36">
      <c r="A36" s="70" t="n"/>
      <c r="B36" s="70" t="n"/>
      <c r="C36" s="70" t="n"/>
      <c r="D36" s="70" t="n"/>
      <c r="E36" s="70" t="n"/>
      <c r="F36" s="70" t="n"/>
      <c r="G36" s="70" t="n"/>
      <c r="H36" s="70" t="n"/>
      <c r="I36" s="70" t="n"/>
      <c r="J36" s="70" t="n"/>
      <c r="K36" s="70" t="n"/>
      <c r="L36" s="70" t="n"/>
    </row>
    <row r="37">
      <c r="A37" s="70" t="n"/>
      <c r="B37" s="70" t="n"/>
      <c r="C37" s="70" t="n"/>
      <c r="D37" s="70" t="n"/>
      <c r="E37" s="70" t="n"/>
      <c r="F37" s="70" t="n"/>
      <c r="G37" s="70" t="n"/>
      <c r="H37" s="70" t="n"/>
      <c r="I37" s="70" t="n"/>
      <c r="J37" s="70" t="n"/>
      <c r="K37" s="70" t="n"/>
      <c r="L37" s="70" t="n"/>
    </row>
    <row r="38">
      <c r="A38" s="70" t="n"/>
      <c r="B38" s="70" t="n"/>
      <c r="C38" s="70" t="n"/>
      <c r="D38" s="70" t="n"/>
      <c r="E38" s="70" t="n"/>
      <c r="F38" s="70" t="n"/>
      <c r="G38" s="70" t="n"/>
      <c r="H38" s="70" t="n"/>
      <c r="I38" s="70" t="n"/>
      <c r="J38" s="70" t="n"/>
      <c r="K38" s="70" t="n"/>
      <c r="L38" s="70" t="n"/>
    </row>
    <row r="39">
      <c r="A39" s="70" t="n"/>
      <c r="B39" s="70" t="n"/>
      <c r="C39" s="70" t="n"/>
      <c r="D39" s="70" t="n"/>
      <c r="E39" s="70" t="n"/>
      <c r="F39" s="70" t="n"/>
      <c r="G39" s="70" t="n"/>
      <c r="H39" s="70" t="n"/>
      <c r="I39" s="70" t="n"/>
      <c r="J39" s="70" t="n"/>
      <c r="K39" s="70" t="n"/>
      <c r="L39" s="70" t="n"/>
    </row>
    <row r="40">
      <c r="A40" s="70" t="n"/>
      <c r="B40" s="70" t="n"/>
      <c r="C40" s="70" t="n"/>
      <c r="D40" s="70" t="n"/>
      <c r="E40" s="70" t="n"/>
      <c r="F40" s="70" t="n"/>
      <c r="G40" s="70" t="n"/>
      <c r="H40" s="70" t="n"/>
      <c r="I40" s="70" t="n"/>
      <c r="J40" s="70" t="n"/>
      <c r="K40" s="70" t="n"/>
      <c r="L40" s="70" t="n"/>
    </row>
    <row r="41">
      <c r="A41" s="70" t="n"/>
      <c r="B41" s="70" t="n"/>
      <c r="C41" s="70" t="n"/>
      <c r="D41" s="70" t="n"/>
      <c r="E41" s="70" t="n"/>
      <c r="F41" s="70" t="n"/>
      <c r="G41" s="70" t="n"/>
      <c r="H41" s="70" t="n"/>
      <c r="I41" s="70" t="n"/>
      <c r="J41" s="70" t="n"/>
      <c r="K41" s="70" t="n"/>
      <c r="L41" s="70" t="n"/>
    </row>
    <row r="42">
      <c r="A42" s="70" t="n"/>
      <c r="B42" s="70" t="n"/>
      <c r="C42" s="70" t="n"/>
      <c r="D42" s="70" t="n"/>
      <c r="E42" s="70" t="n"/>
      <c r="F42" s="70" t="n"/>
      <c r="G42" s="70" t="n"/>
      <c r="H42" s="70" t="n"/>
      <c r="I42" s="70" t="n"/>
      <c r="J42" s="70" t="n"/>
      <c r="K42" s="70" t="n"/>
      <c r="L42" s="70" t="n"/>
    </row>
    <row r="43">
      <c r="A43" s="70" t="n"/>
      <c r="B43" s="70" t="n"/>
      <c r="C43" s="70" t="n"/>
      <c r="D43" s="70" t="n"/>
      <c r="E43" s="70" t="n"/>
      <c r="F43" s="70" t="n"/>
      <c r="G43" s="70" t="n"/>
      <c r="H43" s="70" t="n"/>
      <c r="I43" s="70" t="n"/>
      <c r="J43" s="70" t="n"/>
      <c r="K43" s="70" t="n"/>
      <c r="L43" s="70" t="n"/>
    </row>
    <row r="44">
      <c r="A44" s="70" t="n"/>
      <c r="B44" s="70" t="n"/>
      <c r="C44" s="70" t="n"/>
      <c r="D44" s="70" t="n"/>
      <c r="E44" s="70" t="n"/>
      <c r="F44" s="70" t="n"/>
      <c r="G44" s="70" t="n"/>
      <c r="H44" s="70" t="n"/>
      <c r="I44" s="70" t="n"/>
      <c r="J44" s="70" t="n"/>
      <c r="K44" s="70" t="n"/>
      <c r="L44" s="70" t="n"/>
    </row>
    <row r="45">
      <c r="A45" s="70" t="n"/>
      <c r="B45" s="70" t="n"/>
      <c r="C45" s="70" t="n"/>
      <c r="D45" s="70" t="n"/>
      <c r="E45" s="70" t="n"/>
      <c r="F45" s="70" t="n"/>
      <c r="G45" s="70" t="n"/>
      <c r="H45" s="70" t="n"/>
      <c r="I45" s="70" t="n"/>
      <c r="J45" s="70" t="n"/>
      <c r="K45" s="70" t="n"/>
      <c r="L45" s="70" t="n"/>
    </row>
    <row r="46">
      <c r="A46" s="70" t="n"/>
      <c r="B46" s="70" t="n"/>
      <c r="C46" s="70" t="n"/>
      <c r="D46" s="70" t="n"/>
      <c r="E46" s="70" t="n"/>
      <c r="F46" s="70" t="n"/>
      <c r="G46" s="70" t="n"/>
      <c r="H46" s="70" t="n"/>
      <c r="I46" s="70" t="n"/>
      <c r="J46" s="70" t="n"/>
      <c r="K46" s="70" t="n"/>
      <c r="L46" s="70" t="n"/>
    </row>
    <row r="47">
      <c r="A47" s="70" t="n"/>
      <c r="B47" s="70" t="n"/>
      <c r="C47" s="70" t="n"/>
      <c r="D47" s="70" t="n"/>
      <c r="E47" s="70" t="n"/>
      <c r="F47" s="70" t="n"/>
      <c r="G47" s="70" t="n"/>
      <c r="H47" s="70" t="n"/>
      <c r="I47" s="70" t="n"/>
      <c r="J47" s="70" t="n"/>
      <c r="K47" s="70" t="n"/>
      <c r="L47" s="70" t="n"/>
    </row>
    <row r="48">
      <c r="A48" s="70" t="n"/>
      <c r="B48" s="70" t="n"/>
      <c r="C48" s="70" t="n"/>
      <c r="D48" s="70" t="n"/>
      <c r="E48" s="70" t="n"/>
      <c r="F48" s="70" t="n"/>
      <c r="G48" s="70" t="n"/>
      <c r="H48" s="70" t="n"/>
      <c r="I48" s="70" t="n"/>
      <c r="J48" s="70" t="n"/>
      <c r="K48" s="70" t="n"/>
      <c r="L48" s="70" t="n"/>
    </row>
    <row r="49">
      <c r="A49" s="70" t="n"/>
      <c r="B49" s="70" t="n"/>
      <c r="C49" s="70" t="n"/>
      <c r="D49" s="70" t="n"/>
      <c r="E49" s="70" t="n"/>
      <c r="F49" s="70" t="n"/>
      <c r="G49" s="70" t="n"/>
      <c r="H49" s="70" t="n"/>
      <c r="I49" s="70" t="n"/>
      <c r="J49" s="70" t="n"/>
      <c r="K49" s="70" t="n"/>
      <c r="L49" s="70" t="n"/>
    </row>
    <row r="50">
      <c r="A50" s="70" t="n"/>
      <c r="B50" s="70" t="n"/>
      <c r="C50" s="70" t="n"/>
      <c r="D50" s="70" t="n"/>
      <c r="E50" s="70" t="n"/>
      <c r="F50" s="70" t="n"/>
      <c r="G50" s="70" t="n"/>
      <c r="H50" s="70" t="n"/>
      <c r="I50" s="70" t="n"/>
      <c r="J50" s="70" t="n"/>
      <c r="K50" s="70" t="n"/>
      <c r="L50" s="70" t="n"/>
    </row>
    <row r="51">
      <c r="A51" s="70" t="n"/>
      <c r="B51" s="70" t="n"/>
      <c r="C51" s="70" t="n"/>
      <c r="D51" s="70" t="n"/>
      <c r="E51" s="70" t="n"/>
      <c r="F51" s="70" t="n"/>
      <c r="G51" s="70" t="n"/>
      <c r="H51" s="70" t="n"/>
      <c r="I51" s="70" t="n"/>
      <c r="J51" s="70" t="n"/>
      <c r="K51" s="70" t="n"/>
      <c r="L51" s="70" t="n"/>
    </row>
    <row r="52">
      <c r="A52" s="70" t="n"/>
      <c r="B52" s="70" t="n"/>
      <c r="C52" s="70" t="n"/>
      <c r="D52" s="70" t="n"/>
      <c r="E52" s="70" t="n"/>
      <c r="F52" s="70" t="n"/>
      <c r="G52" s="70" t="n"/>
      <c r="H52" s="70" t="n"/>
      <c r="I52" s="70" t="n"/>
      <c r="J52" s="70" t="n"/>
      <c r="K52" s="70" t="n"/>
      <c r="L52" s="70" t="n"/>
    </row>
    <row r="53">
      <c r="A53" s="70" t="n"/>
      <c r="B53" s="70" t="n"/>
      <c r="C53" s="70" t="n"/>
      <c r="D53" s="70" t="n"/>
      <c r="E53" s="70" t="n"/>
      <c r="F53" s="70" t="n"/>
      <c r="G53" s="70" t="n"/>
      <c r="H53" s="70" t="n"/>
      <c r="I53" s="70" t="n"/>
      <c r="J53" s="70" t="n"/>
      <c r="K53" s="70" t="n"/>
      <c r="L53" s="70" t="n"/>
    </row>
    <row r="54">
      <c r="A54" s="70" t="n"/>
      <c r="B54" s="70" t="n"/>
      <c r="C54" s="70" t="n"/>
      <c r="D54" s="70" t="n"/>
      <c r="E54" s="70" t="n"/>
      <c r="F54" s="70" t="n"/>
      <c r="G54" s="70" t="n"/>
      <c r="H54" s="70" t="n"/>
      <c r="I54" s="70" t="n"/>
      <c r="J54" s="70" t="n"/>
      <c r="K54" s="70" t="n"/>
      <c r="L54" s="70" t="n"/>
    </row>
    <row r="55">
      <c r="A55" s="70" t="n"/>
      <c r="B55" s="70" t="n"/>
      <c r="C55" s="70" t="n"/>
      <c r="D55" s="70" t="n"/>
      <c r="E55" s="70" t="n"/>
      <c r="F55" s="70" t="n"/>
      <c r="G55" s="70" t="n"/>
      <c r="H55" s="70" t="n"/>
      <c r="I55" s="70" t="n"/>
      <c r="J55" s="70" t="n"/>
      <c r="K55" s="70" t="n"/>
      <c r="L55" s="70" t="n"/>
    </row>
    <row r="56">
      <c r="A56" s="70" t="n"/>
      <c r="B56" s="70" t="n"/>
      <c r="C56" s="70" t="n"/>
      <c r="D56" s="70" t="n"/>
      <c r="E56" s="70" t="n"/>
      <c r="F56" s="70" t="n"/>
      <c r="G56" s="70" t="n"/>
      <c r="H56" s="70" t="n"/>
      <c r="I56" s="70" t="n"/>
      <c r="J56" s="70" t="n"/>
      <c r="K56" s="70" t="n"/>
      <c r="L56" s="70" t="n"/>
    </row>
    <row r="57">
      <c r="A57" s="70" t="n"/>
      <c r="B57" s="70" t="n"/>
      <c r="C57" s="70" t="n"/>
      <c r="D57" s="70" t="n"/>
      <c r="E57" s="70" t="n"/>
      <c r="F57" s="70" t="n"/>
      <c r="G57" s="70" t="n"/>
      <c r="H57" s="70" t="n"/>
      <c r="I57" s="70" t="n"/>
      <c r="J57" s="70" t="n"/>
      <c r="K57" s="70" t="n"/>
      <c r="L57" s="70" t="n"/>
    </row>
    <row r="58">
      <c r="A58" s="70" t="n"/>
      <c r="B58" s="70" t="n"/>
      <c r="C58" s="70" t="n"/>
      <c r="D58" s="70" t="n"/>
      <c r="E58" s="70" t="n"/>
      <c r="F58" s="70" t="n"/>
      <c r="G58" s="70" t="n"/>
      <c r="H58" s="70" t="n"/>
      <c r="I58" s="70" t="n"/>
      <c r="J58" s="70" t="n"/>
      <c r="K58" s="70" t="n"/>
      <c r="L58" s="70" t="n"/>
    </row>
    <row r="59">
      <c r="A59" s="70" t="n"/>
      <c r="B59" s="70" t="n"/>
      <c r="C59" s="70" t="n"/>
      <c r="D59" s="70" t="n"/>
      <c r="E59" s="70" t="n"/>
      <c r="F59" s="70" t="n"/>
      <c r="G59" s="70" t="n"/>
      <c r="H59" s="70" t="n"/>
      <c r="I59" s="70" t="n"/>
      <c r="J59" s="70" t="n"/>
      <c r="K59" s="70" t="n"/>
      <c r="L59" s="70" t="n"/>
    </row>
    <row r="60">
      <c r="A60" s="70" t="n"/>
      <c r="B60" s="70" t="n"/>
      <c r="C60" s="70" t="n"/>
      <c r="D60" s="70" t="n"/>
      <c r="E60" s="70" t="n"/>
      <c r="F60" s="70" t="n"/>
      <c r="G60" s="70" t="n"/>
      <c r="H60" s="70" t="n"/>
      <c r="I60" s="70" t="n"/>
      <c r="J60" s="70" t="n"/>
      <c r="K60" s="70" t="n"/>
      <c r="L60" s="70" t="n"/>
    </row>
    <row r="61">
      <c r="A61" s="70" t="n"/>
      <c r="B61" s="70" t="n"/>
      <c r="C61" s="70" t="n"/>
      <c r="D61" s="70" t="n"/>
      <c r="E61" s="70" t="n"/>
      <c r="F61" s="70" t="n"/>
      <c r="G61" s="70" t="n"/>
      <c r="H61" s="70" t="n"/>
      <c r="I61" s="70" t="n"/>
      <c r="J61" s="70" t="n"/>
      <c r="K61" s="70" t="n"/>
      <c r="L61" s="70" t="n"/>
    </row>
    <row r="62">
      <c r="A62" s="70" t="n"/>
      <c r="B62" s="70" t="n"/>
      <c r="C62" s="70" t="n"/>
      <c r="D62" s="70" t="n"/>
      <c r="E62" s="70" t="n"/>
      <c r="F62" s="70" t="n"/>
      <c r="G62" s="70" t="n"/>
      <c r="H62" s="70" t="n"/>
      <c r="I62" s="70" t="n"/>
      <c r="J62" s="70" t="n"/>
      <c r="K62" s="70" t="n"/>
      <c r="L62" s="70" t="n"/>
    </row>
    <row r="63">
      <c r="A63" s="70" t="n"/>
      <c r="B63" s="70" t="n"/>
      <c r="C63" s="70" t="n"/>
      <c r="D63" s="70" t="n"/>
      <c r="E63" s="70" t="n"/>
      <c r="F63" s="70" t="n"/>
      <c r="G63" s="70" t="n"/>
      <c r="H63" s="70" t="n"/>
      <c r="I63" s="70" t="n"/>
      <c r="J63" s="70" t="n"/>
      <c r="K63" s="70" t="n"/>
      <c r="L63" s="70" t="n"/>
    </row>
    <row r="64">
      <c r="A64" s="70" t="n"/>
      <c r="B64" s="70" t="n"/>
      <c r="C64" s="70" t="n"/>
      <c r="D64" s="70" t="n"/>
      <c r="E64" s="70" t="n"/>
      <c r="F64" s="70" t="n"/>
      <c r="G64" s="70" t="n"/>
      <c r="H64" s="70" t="n"/>
      <c r="I64" s="70" t="n"/>
      <c r="J64" s="70" t="n"/>
      <c r="K64" s="70" t="n"/>
      <c r="L64" s="70" t="n"/>
    </row>
    <row r="65">
      <c r="A65" s="70" t="n"/>
      <c r="B65" s="70" t="n"/>
      <c r="C65" s="70" t="n"/>
      <c r="D65" s="70" t="n"/>
      <c r="E65" s="70" t="n"/>
      <c r="F65" s="70" t="n"/>
      <c r="G65" s="70" t="n"/>
      <c r="H65" s="70" t="n"/>
      <c r="I65" s="70" t="n"/>
      <c r="J65" s="70" t="n"/>
      <c r="K65" s="70" t="n"/>
      <c r="L65" s="70" t="n"/>
    </row>
    <row r="66">
      <c r="A66" s="70" t="n"/>
      <c r="B66" s="70" t="n"/>
      <c r="C66" s="70" t="n"/>
      <c r="D66" s="70" t="n"/>
      <c r="E66" s="70" t="n"/>
      <c r="F66" s="70" t="n"/>
      <c r="G66" s="70" t="n"/>
      <c r="H66" s="70" t="n"/>
      <c r="I66" s="70" t="n"/>
      <c r="J66" s="70" t="n"/>
      <c r="K66" s="70" t="n"/>
      <c r="L66" s="70" t="n"/>
    </row>
    <row r="67">
      <c r="A67" s="70" t="n"/>
      <c r="B67" s="70" t="n"/>
      <c r="C67" s="70" t="n"/>
      <c r="D67" s="70" t="n"/>
      <c r="E67" s="70" t="n"/>
      <c r="F67" s="70" t="n"/>
      <c r="G67" s="70" t="n"/>
      <c r="H67" s="70" t="n"/>
      <c r="I67" s="70" t="n"/>
      <c r="J67" s="70" t="n"/>
      <c r="K67" s="70" t="n"/>
      <c r="L67" s="70" t="n"/>
    </row>
    <row r="68">
      <c r="A68" s="70" t="n"/>
      <c r="B68" s="70" t="n"/>
      <c r="C68" s="70" t="n"/>
      <c r="D68" s="70" t="n"/>
      <c r="E68" s="70" t="n"/>
      <c r="F68" s="70" t="n"/>
      <c r="G68" s="70" t="n"/>
      <c r="H68" s="70" t="n"/>
      <c r="I68" s="70" t="n"/>
      <c r="J68" s="70" t="n"/>
      <c r="K68" s="70" t="n"/>
      <c r="L68" s="70" t="n"/>
    </row>
    <row r="69">
      <c r="A69" s="70" t="n"/>
      <c r="B69" s="70" t="n"/>
      <c r="C69" s="70" t="n"/>
      <c r="D69" s="70" t="n"/>
      <c r="E69" s="70" t="n"/>
      <c r="F69" s="70" t="n"/>
      <c r="G69" s="70" t="n"/>
      <c r="H69" s="70" t="n"/>
      <c r="I69" s="70" t="n"/>
      <c r="J69" s="70" t="n"/>
      <c r="K69" s="70" t="n"/>
      <c r="L69" s="70" t="n"/>
    </row>
    <row r="70">
      <c r="A70" s="70" t="n"/>
      <c r="B70" s="70" t="n"/>
      <c r="C70" s="70" t="n"/>
      <c r="D70" s="70" t="n"/>
      <c r="E70" s="70" t="n"/>
      <c r="F70" s="70" t="n"/>
      <c r="G70" s="70" t="n"/>
      <c r="H70" s="70" t="n"/>
      <c r="I70" s="70" t="n"/>
      <c r="J70" s="70" t="n"/>
      <c r="K70" s="70" t="n"/>
      <c r="L70" s="70" t="n"/>
    </row>
    <row r="71">
      <c r="A71" s="70" t="n"/>
      <c r="B71" s="70" t="n"/>
      <c r="C71" s="70" t="n"/>
      <c r="D71" s="70" t="n"/>
      <c r="E71" s="70" t="n"/>
      <c r="F71" s="70" t="n"/>
      <c r="G71" s="70" t="n"/>
      <c r="H71" s="70" t="n"/>
      <c r="I71" s="70" t="n"/>
      <c r="J71" s="70" t="n"/>
      <c r="K71" s="70" t="n"/>
      <c r="L71" s="70" t="n"/>
    </row>
    <row r="72">
      <c r="A72" s="70" t="n"/>
      <c r="B72" s="70" t="n"/>
      <c r="C72" s="70" t="n"/>
      <c r="D72" s="70" t="n"/>
      <c r="E72" s="70" t="n"/>
      <c r="F72" s="70" t="n"/>
      <c r="G72" s="70" t="n"/>
      <c r="H72" s="70" t="n"/>
      <c r="I72" s="70" t="n"/>
      <c r="J72" s="70" t="n"/>
      <c r="K72" s="70" t="n"/>
      <c r="L72" s="70" t="n"/>
    </row>
    <row r="73">
      <c r="A73" s="70" t="n"/>
      <c r="B73" s="70" t="n"/>
      <c r="C73" s="70" t="n"/>
      <c r="D73" s="70" t="n"/>
      <c r="E73" s="70" t="n"/>
      <c r="F73" s="70" t="n"/>
      <c r="G73" s="70" t="n"/>
      <c r="H73" s="70" t="n"/>
      <c r="I73" s="70" t="n"/>
      <c r="J73" s="70" t="n"/>
      <c r="K73" s="70" t="n"/>
      <c r="L73" s="70" t="n"/>
    </row>
    <row r="74">
      <c r="A74" s="70" t="n"/>
      <c r="B74" s="70" t="n"/>
      <c r="C74" s="70" t="n"/>
      <c r="D74" s="70" t="n"/>
      <c r="E74" s="70" t="n"/>
      <c r="F74" s="70" t="n"/>
      <c r="G74" s="70" t="n"/>
      <c r="H74" s="70" t="n"/>
      <c r="I74" s="70" t="n"/>
      <c r="J74" s="70" t="n"/>
      <c r="K74" s="70" t="n"/>
      <c r="L74" s="70" t="n"/>
    </row>
    <row r="75">
      <c r="A75" s="70" t="n"/>
      <c r="B75" s="70" t="n"/>
      <c r="C75" s="70" t="n"/>
      <c r="D75" s="70" t="n"/>
      <c r="E75" s="70" t="n"/>
      <c r="F75" s="70" t="n"/>
      <c r="G75" s="70" t="n"/>
      <c r="H75" s="70" t="n"/>
      <c r="I75" s="70" t="n"/>
      <c r="J75" s="70" t="n"/>
      <c r="K75" s="70" t="n"/>
      <c r="L75" s="70" t="n"/>
    </row>
    <row r="76">
      <c r="A76" s="70" t="n"/>
      <c r="B76" s="70" t="n"/>
      <c r="C76" s="70" t="n"/>
      <c r="D76" s="70" t="n"/>
      <c r="E76" s="70" t="n"/>
      <c r="F76" s="70" t="n"/>
      <c r="G76" s="70" t="n"/>
      <c r="H76" s="70" t="n"/>
      <c r="I76" s="70" t="n"/>
      <c r="J76" s="70" t="n"/>
      <c r="K76" s="70" t="n"/>
      <c r="L76" s="70" t="n"/>
    </row>
    <row r="77">
      <c r="A77" s="70" t="n"/>
      <c r="B77" s="70" t="n"/>
      <c r="C77" s="70" t="n"/>
      <c r="D77" s="70" t="n"/>
      <c r="E77" s="70" t="n"/>
      <c r="F77" s="70" t="n"/>
      <c r="G77" s="70" t="n"/>
      <c r="H77" s="70" t="n"/>
      <c r="I77" s="70" t="n"/>
      <c r="J77" s="70" t="n"/>
      <c r="K77" s="70" t="n"/>
      <c r="L77" s="70" t="n"/>
    </row>
    <row r="78">
      <c r="A78" s="70" t="n"/>
      <c r="B78" s="70" t="n"/>
      <c r="C78" s="70" t="n"/>
      <c r="D78" s="70" t="n"/>
      <c r="E78" s="70" t="n"/>
      <c r="F78" s="70" t="n"/>
      <c r="G78" s="70" t="n"/>
      <c r="H78" s="70" t="n"/>
      <c r="I78" s="70" t="n"/>
      <c r="J78" s="70" t="n"/>
      <c r="K78" s="70" t="n"/>
      <c r="L78" s="70" t="n"/>
    </row>
    <row r="79">
      <c r="A79" s="70" t="n"/>
      <c r="B79" s="70" t="n"/>
      <c r="C79" s="70" t="n"/>
      <c r="D79" s="70" t="n"/>
      <c r="E79" s="70" t="n"/>
      <c r="F79" s="70" t="n"/>
      <c r="G79" s="70" t="n"/>
      <c r="H79" s="70" t="n"/>
      <c r="I79" s="70" t="n"/>
      <c r="J79" s="70" t="n"/>
      <c r="K79" s="70" t="n"/>
      <c r="L79" s="70" t="n"/>
    </row>
    <row r="80">
      <c r="A80" s="70" t="n"/>
      <c r="B80" s="70" t="n"/>
      <c r="C80" s="70" t="n"/>
      <c r="D80" s="70" t="n"/>
      <c r="E80" s="70" t="n"/>
      <c r="F80" s="70" t="n"/>
      <c r="G80" s="70" t="n"/>
      <c r="H80" s="70" t="n"/>
      <c r="I80" s="70" t="n"/>
      <c r="J80" s="70" t="n"/>
      <c r="K80" s="70" t="n"/>
      <c r="L80" s="70" t="n"/>
    </row>
    <row r="81">
      <c r="A81" s="70" t="n"/>
      <c r="B81" s="70" t="n"/>
      <c r="C81" s="70" t="n"/>
      <c r="D81" s="70" t="n"/>
      <c r="E81" s="70" t="n"/>
      <c r="F81" s="70" t="n"/>
      <c r="G81" s="70" t="n"/>
      <c r="H81" s="70" t="n"/>
      <c r="I81" s="70" t="n"/>
      <c r="J81" s="70" t="n"/>
      <c r="K81" s="70" t="n"/>
      <c r="L81" s="70" t="n"/>
    </row>
    <row r="82">
      <c r="A82" s="70" t="n"/>
      <c r="B82" s="70" t="n"/>
      <c r="C82" s="70" t="n"/>
      <c r="D82" s="70" t="n"/>
      <c r="E82" s="70" t="n"/>
      <c r="F82" s="70" t="n"/>
      <c r="G82" s="70" t="n"/>
      <c r="H82" s="70" t="n"/>
      <c r="I82" s="70" t="n"/>
      <c r="J82" s="70" t="n"/>
      <c r="K82" s="70" t="n"/>
      <c r="L82" s="70" t="n"/>
    </row>
    <row r="83">
      <c r="A83" s="70" t="n"/>
      <c r="B83" s="70" t="n"/>
      <c r="C83" s="70" t="n"/>
      <c r="D83" s="70" t="n"/>
      <c r="E83" s="70" t="n"/>
      <c r="F83" s="70" t="n"/>
      <c r="G83" s="70" t="n"/>
      <c r="H83" s="70" t="n"/>
      <c r="I83" s="70" t="n"/>
      <c r="J83" s="70" t="n"/>
      <c r="K83" s="70" t="n"/>
      <c r="L83" s="70" t="n"/>
    </row>
    <row r="84">
      <c r="A84" s="70" t="n"/>
      <c r="B84" s="70" t="n"/>
      <c r="C84" s="70" t="n"/>
      <c r="D84" s="70" t="n"/>
      <c r="E84" s="70" t="n"/>
      <c r="F84" s="70" t="n"/>
      <c r="G84" s="70" t="n"/>
      <c r="H84" s="70" t="n"/>
      <c r="I84" s="70" t="n"/>
      <c r="J84" s="70" t="n"/>
      <c r="K84" s="70" t="n"/>
      <c r="L84" s="70" t="n"/>
    </row>
    <row r="85">
      <c r="A85" s="70" t="n"/>
      <c r="B85" s="70" t="n"/>
      <c r="C85" s="70" t="n"/>
      <c r="D85" s="70" t="n"/>
      <c r="E85" s="70" t="n"/>
      <c r="F85" s="70" t="n"/>
      <c r="G85" s="70" t="n"/>
      <c r="H85" s="70" t="n"/>
      <c r="I85" s="70" t="n"/>
      <c r="J85" s="70" t="n"/>
      <c r="K85" s="70" t="n"/>
      <c r="L85" s="70" t="n"/>
    </row>
    <row r="86">
      <c r="A86" s="70" t="n"/>
      <c r="B86" s="70" t="n"/>
      <c r="C86" s="70" t="n"/>
      <c r="D86" s="70" t="n"/>
      <c r="E86" s="70" t="n"/>
      <c r="F86" s="70" t="n"/>
      <c r="G86" s="70" t="n"/>
      <c r="H86" s="70" t="n"/>
      <c r="I86" s="70" t="n"/>
      <c r="J86" s="70" t="n"/>
      <c r="K86" s="70" t="n"/>
      <c r="L86" s="70" t="n"/>
    </row>
    <row r="87">
      <c r="A87" s="70" t="n"/>
      <c r="B87" s="70" t="n"/>
      <c r="C87" s="70" t="n"/>
      <c r="D87" s="70" t="n"/>
      <c r="E87" s="70" t="n"/>
      <c r="F87" s="70" t="n"/>
      <c r="G87" s="70" t="n"/>
      <c r="H87" s="70" t="n"/>
      <c r="I87" s="70" t="n"/>
      <c r="J87" s="70" t="n"/>
      <c r="K87" s="70" t="n"/>
      <c r="L87" s="70" t="n"/>
    </row>
    <row r="88">
      <c r="A88" s="70" t="n"/>
      <c r="B88" s="70" t="n"/>
      <c r="C88" s="70" t="n"/>
      <c r="D88" s="70" t="n"/>
      <c r="E88" s="70" t="n"/>
      <c r="F88" s="70" t="n"/>
      <c r="G88" s="70" t="n"/>
      <c r="H88" s="70" t="n"/>
      <c r="I88" s="70" t="n"/>
      <c r="J88" s="70" t="n"/>
      <c r="K88" s="70" t="n"/>
      <c r="L88" s="70" t="n"/>
    </row>
    <row r="89">
      <c r="A89" s="70" t="n"/>
      <c r="B89" s="70" t="n"/>
      <c r="C89" s="70" t="n"/>
      <c r="D89" s="70" t="n"/>
      <c r="E89" s="70" t="n"/>
      <c r="F89" s="70" t="n"/>
      <c r="G89" s="70" t="n"/>
      <c r="H89" s="70" t="n"/>
      <c r="I89" s="70" t="n"/>
      <c r="J89" s="70" t="n"/>
      <c r="K89" s="70" t="n"/>
      <c r="L89" s="70" t="n"/>
    </row>
    <row r="90">
      <c r="A90" s="70" t="n"/>
      <c r="B90" s="70" t="n"/>
      <c r="C90" s="70" t="n"/>
      <c r="D90" s="70" t="n"/>
      <c r="E90" s="70" t="n"/>
      <c r="F90" s="70" t="n"/>
      <c r="G90" s="70" t="n"/>
      <c r="H90" s="70" t="n"/>
      <c r="I90" s="70" t="n"/>
      <c r="J90" s="70" t="n"/>
      <c r="K90" s="70" t="n"/>
      <c r="L90" s="70" t="n"/>
    </row>
    <row r="91">
      <c r="A91" s="70" t="n"/>
      <c r="B91" s="70" t="n"/>
      <c r="C91" s="70" t="n"/>
      <c r="D91" s="70" t="n"/>
      <c r="E91" s="70" t="n"/>
      <c r="F91" s="70" t="n"/>
      <c r="G91" s="70" t="n"/>
      <c r="H91" s="70" t="n"/>
      <c r="I91" s="70" t="n"/>
      <c r="J91" s="70" t="n"/>
      <c r="K91" s="70" t="n"/>
      <c r="L91" s="70" t="n"/>
    </row>
    <row r="92">
      <c r="A92" s="70" t="n"/>
      <c r="B92" s="70" t="n"/>
      <c r="C92" s="70" t="n"/>
      <c r="D92" s="70" t="n"/>
      <c r="E92" s="70" t="n"/>
      <c r="F92" s="70" t="n"/>
      <c r="G92" s="70" t="n"/>
      <c r="H92" s="70" t="n"/>
      <c r="I92" s="70" t="n"/>
      <c r="J92" s="70" t="n"/>
      <c r="K92" s="70" t="n"/>
      <c r="L92" s="70" t="n"/>
    </row>
    <row r="93">
      <c r="A93" s="70" t="n"/>
      <c r="B93" s="70" t="n"/>
      <c r="C93" s="70" t="n"/>
      <c r="D93" s="70" t="n"/>
      <c r="E93" s="70" t="n"/>
      <c r="F93" s="70" t="n"/>
      <c r="G93" s="70" t="n"/>
      <c r="H93" s="70" t="n"/>
      <c r="I93" s="70" t="n"/>
      <c r="J93" s="70" t="n"/>
      <c r="K93" s="70" t="n"/>
      <c r="L93" s="70" t="n"/>
    </row>
    <row r="94">
      <c r="A94" s="70" t="n"/>
      <c r="B94" s="70" t="n"/>
      <c r="C94" s="70" t="n"/>
      <c r="D94" s="70" t="n"/>
      <c r="E94" s="70" t="n"/>
      <c r="F94" s="70" t="n"/>
      <c r="G94" s="70" t="n"/>
      <c r="H94" s="70" t="n"/>
      <c r="I94" s="70" t="n"/>
      <c r="J94" s="70" t="n"/>
      <c r="K94" s="70" t="n"/>
      <c r="L94" s="70" t="n"/>
    </row>
    <row r="95">
      <c r="A95" s="70" t="n"/>
      <c r="B95" s="70" t="n"/>
      <c r="C95" s="70" t="n"/>
      <c r="D95" s="70" t="n"/>
      <c r="E95" s="70" t="n"/>
      <c r="F95" s="70" t="n"/>
      <c r="G95" s="70" t="n"/>
      <c r="H95" s="70" t="n"/>
      <c r="I95" s="70" t="n"/>
      <c r="J95" s="70" t="n"/>
      <c r="K95" s="70" t="n"/>
      <c r="L95" s="70" t="n"/>
    </row>
    <row r="96">
      <c r="A96" s="70" t="n"/>
      <c r="B96" s="70" t="n"/>
      <c r="C96" s="70" t="n"/>
      <c r="D96" s="70" t="n"/>
      <c r="E96" s="70" t="n"/>
      <c r="F96" s="70" t="n"/>
      <c r="G96" s="70" t="n"/>
      <c r="H96" s="70" t="n"/>
      <c r="I96" s="70" t="n"/>
      <c r="J96" s="70" t="n"/>
      <c r="K96" s="70" t="n"/>
      <c r="L96" s="70" t="n"/>
    </row>
    <row r="97">
      <c r="A97" s="70" t="n"/>
      <c r="B97" s="70" t="n"/>
      <c r="C97" s="70" t="n"/>
      <c r="D97" s="70" t="n"/>
      <c r="E97" s="70" t="n"/>
      <c r="F97" s="70" t="n"/>
      <c r="G97" s="70" t="n"/>
      <c r="H97" s="70" t="n"/>
      <c r="I97" s="70" t="n"/>
      <c r="J97" s="70" t="n"/>
      <c r="K97" s="70" t="n"/>
      <c r="L97" s="70" t="n"/>
    </row>
    <row r="98">
      <c r="A98" s="70" t="n"/>
      <c r="B98" s="70" t="n"/>
      <c r="C98" s="70" t="n"/>
      <c r="D98" s="70" t="n"/>
      <c r="E98" s="70" t="n"/>
      <c r="F98" s="70" t="n"/>
      <c r="G98" s="70" t="n"/>
      <c r="H98" s="70" t="n"/>
      <c r="I98" s="70" t="n"/>
      <c r="J98" s="70" t="n"/>
      <c r="K98" s="70" t="n"/>
      <c r="L98" s="70" t="n"/>
    </row>
    <row r="99">
      <c r="A99" s="70" t="n"/>
      <c r="B99" s="70" t="n"/>
      <c r="C99" s="70" t="n"/>
      <c r="D99" s="70" t="n"/>
      <c r="E99" s="70" t="n"/>
      <c r="F99" s="70" t="n"/>
      <c r="G99" s="70" t="n"/>
      <c r="H99" s="70" t="n"/>
      <c r="I99" s="70" t="n"/>
      <c r="J99" s="70" t="n"/>
      <c r="K99" s="70" t="n"/>
      <c r="L99" s="70" t="n"/>
    </row>
    <row r="100">
      <c r="A100" s="70" t="n"/>
      <c r="B100" s="70" t="n"/>
      <c r="C100" s="70" t="n"/>
      <c r="D100" s="70" t="n"/>
      <c r="E100" s="70" t="n"/>
      <c r="F100" s="70" t="n"/>
      <c r="G100" s="70" t="n"/>
      <c r="H100" s="70" t="n"/>
      <c r="I100" s="70" t="n"/>
      <c r="J100" s="70" t="n"/>
      <c r="K100" s="70" t="n"/>
      <c r="L100" s="70" t="n"/>
    </row>
    <row r="101">
      <c r="A101" s="70" t="n"/>
      <c r="B101" s="70" t="n"/>
      <c r="C101" s="70" t="n"/>
      <c r="D101" s="70" t="n"/>
      <c r="E101" s="70" t="n"/>
      <c r="F101" s="70" t="n"/>
      <c r="G101" s="70" t="n"/>
      <c r="H101" s="70" t="n"/>
      <c r="I101" s="70" t="n"/>
      <c r="J101" s="70" t="n"/>
      <c r="K101" s="70" t="n"/>
      <c r="L101" s="70" t="n"/>
    </row>
    <row r="102">
      <c r="A102" s="70" t="n"/>
      <c r="B102" s="70" t="n"/>
      <c r="C102" s="70" t="n"/>
      <c r="D102" s="70" t="n"/>
      <c r="E102" s="70" t="n"/>
      <c r="F102" s="70" t="n"/>
      <c r="G102" s="70" t="n"/>
      <c r="H102" s="70" t="n"/>
      <c r="I102" s="70" t="n"/>
      <c r="J102" s="70" t="n"/>
      <c r="K102" s="70" t="n"/>
      <c r="L102" s="70" t="n"/>
    </row>
    <row r="103">
      <c r="A103" s="70" t="n"/>
      <c r="B103" s="70" t="n"/>
      <c r="C103" s="70" t="n"/>
      <c r="D103" s="70" t="n"/>
      <c r="E103" s="70" t="n"/>
      <c r="F103" s="70" t="n"/>
      <c r="G103" s="70" t="n"/>
      <c r="H103" s="70" t="n"/>
      <c r="I103" s="70" t="n"/>
      <c r="J103" s="70" t="n"/>
      <c r="K103" s="70" t="n"/>
      <c r="L103" s="70" t="n"/>
    </row>
    <row r="104">
      <c r="A104" s="70" t="n"/>
      <c r="B104" s="70" t="n"/>
      <c r="C104" s="70" t="n"/>
      <c r="D104" s="70" t="n"/>
      <c r="E104" s="70" t="n"/>
      <c r="F104" s="70" t="n"/>
      <c r="G104" s="70" t="n"/>
      <c r="H104" s="70" t="n"/>
      <c r="I104" s="70" t="n"/>
      <c r="J104" s="70" t="n"/>
      <c r="K104" s="70" t="n"/>
      <c r="L104" s="70" t="n"/>
    </row>
    <row r="105">
      <c r="A105" s="70" t="n"/>
      <c r="B105" s="70" t="n"/>
      <c r="C105" s="70" t="n"/>
      <c r="D105" s="70" t="n"/>
      <c r="E105" s="70" t="n"/>
      <c r="F105" s="70" t="n"/>
      <c r="G105" s="70" t="n"/>
      <c r="H105" s="70" t="n"/>
      <c r="I105" s="70" t="n"/>
      <c r="J105" s="70" t="n"/>
      <c r="K105" s="70" t="n"/>
      <c r="L105" s="70" t="n"/>
    </row>
    <row r="106">
      <c r="A106" s="70" t="n"/>
      <c r="B106" s="70" t="n"/>
      <c r="C106" s="70" t="n"/>
      <c r="D106" s="70" t="n"/>
      <c r="E106" s="70" t="n"/>
      <c r="F106" s="70" t="n"/>
      <c r="G106" s="70" t="n"/>
      <c r="H106" s="70" t="n"/>
      <c r="I106" s="70" t="n"/>
      <c r="J106" s="70" t="n"/>
      <c r="K106" s="70" t="n"/>
      <c r="L106" s="70" t="n"/>
    </row>
    <row r="107">
      <c r="A107" s="70" t="n"/>
      <c r="B107" s="70" t="n"/>
      <c r="C107" s="70" t="n"/>
      <c r="D107" s="70" t="n"/>
      <c r="E107" s="70" t="n"/>
      <c r="F107" s="70" t="n"/>
      <c r="G107" s="70" t="n"/>
      <c r="H107" s="70" t="n"/>
      <c r="I107" s="70" t="n"/>
      <c r="J107" s="70" t="n"/>
      <c r="K107" s="70" t="n"/>
      <c r="L107" s="70" t="n"/>
    </row>
    <row r="108">
      <c r="A108" s="70" t="n"/>
      <c r="B108" s="70" t="n"/>
      <c r="C108" s="70" t="n"/>
      <c r="D108" s="70" t="n"/>
      <c r="E108" s="70" t="n"/>
      <c r="F108" s="70" t="n"/>
      <c r="G108" s="70" t="n"/>
      <c r="H108" s="70" t="n"/>
      <c r="I108" s="70" t="n"/>
      <c r="J108" s="70" t="n"/>
      <c r="K108" s="70" t="n"/>
      <c r="L108" s="70" t="n"/>
    </row>
    <row r="109">
      <c r="A109" s="70" t="n"/>
      <c r="B109" s="70" t="n"/>
      <c r="C109" s="70" t="n"/>
      <c r="D109" s="70" t="n"/>
      <c r="E109" s="70" t="n"/>
      <c r="F109" s="70" t="n"/>
      <c r="G109" s="70" t="n"/>
      <c r="H109" s="70" t="n"/>
      <c r="I109" s="70" t="n"/>
      <c r="J109" s="70" t="n"/>
      <c r="K109" s="70" t="n"/>
      <c r="L109" s="70" t="n"/>
    </row>
    <row r="110">
      <c r="A110" s="70" t="n"/>
      <c r="B110" s="70" t="n"/>
      <c r="C110" s="70" t="n"/>
      <c r="D110" s="70" t="n"/>
      <c r="E110" s="70" t="n"/>
      <c r="F110" s="70" t="n"/>
      <c r="G110" s="70" t="n"/>
      <c r="H110" s="70" t="n"/>
      <c r="I110" s="70" t="n"/>
      <c r="J110" s="70" t="n"/>
      <c r="K110" s="70" t="n"/>
      <c r="L110" s="70" t="n"/>
    </row>
    <row r="111">
      <c r="A111" s="70" t="n"/>
      <c r="B111" s="70" t="n"/>
      <c r="C111" s="70" t="n"/>
      <c r="D111" s="70" t="n"/>
      <c r="E111" s="70" t="n"/>
      <c r="F111" s="70" t="n"/>
      <c r="G111" s="70" t="n"/>
      <c r="H111" s="70" t="n"/>
      <c r="I111" s="70" t="n"/>
      <c r="J111" s="70" t="n"/>
      <c r="K111" s="70" t="n"/>
      <c r="L111" s="70" t="n"/>
    </row>
    <row r="112">
      <c r="A112" s="70" t="n"/>
      <c r="B112" s="70" t="n"/>
      <c r="C112" s="70" t="n"/>
      <c r="D112" s="70" t="n"/>
      <c r="E112" s="70" t="n"/>
      <c r="F112" s="70" t="n"/>
      <c r="G112" s="70" t="n"/>
      <c r="H112" s="70" t="n"/>
      <c r="I112" s="70" t="n"/>
      <c r="J112" s="70" t="n"/>
      <c r="K112" s="70" t="n"/>
      <c r="L112" s="70" t="n"/>
    </row>
    <row r="113">
      <c r="A113" s="70" t="n"/>
      <c r="B113" s="70" t="n"/>
      <c r="C113" s="70" t="n"/>
      <c r="D113" s="70" t="n"/>
      <c r="E113" s="70" t="n"/>
      <c r="F113" s="70" t="n"/>
      <c r="G113" s="70" t="n"/>
      <c r="H113" s="70" t="n"/>
      <c r="I113" s="70" t="n"/>
      <c r="J113" s="70" t="n"/>
      <c r="K113" s="70" t="n"/>
      <c r="L113" s="70" t="n"/>
    </row>
    <row r="114">
      <c r="A114" s="70" t="n"/>
      <c r="B114" s="70" t="n"/>
      <c r="C114" s="70" t="n"/>
      <c r="D114" s="70" t="n"/>
      <c r="E114" s="70" t="n"/>
      <c r="F114" s="70" t="n"/>
      <c r="G114" s="70" t="n"/>
      <c r="H114" s="70" t="n"/>
      <c r="I114" s="70" t="n"/>
      <c r="J114" s="70" t="n"/>
      <c r="K114" s="70" t="n"/>
      <c r="L114" s="70" t="n"/>
    </row>
    <row r="115">
      <c r="A115" s="70" t="n"/>
      <c r="B115" s="70" t="n"/>
      <c r="C115" s="70" t="n"/>
      <c r="D115" s="70" t="n"/>
      <c r="E115" s="70" t="n"/>
      <c r="F115" s="70" t="n"/>
      <c r="G115" s="70" t="n"/>
      <c r="H115" s="70" t="n"/>
      <c r="I115" s="70" t="n"/>
      <c r="J115" s="70" t="n"/>
      <c r="K115" s="70" t="n"/>
      <c r="L115" s="70" t="n"/>
    </row>
    <row r="116">
      <c r="A116" s="70" t="n"/>
      <c r="B116" s="70" t="n"/>
      <c r="C116" s="70" t="n"/>
      <c r="D116" s="70" t="n"/>
      <c r="E116" s="70" t="n"/>
      <c r="F116" s="70" t="n"/>
      <c r="G116" s="70" t="n"/>
      <c r="H116" s="70" t="n"/>
      <c r="I116" s="70" t="n"/>
      <c r="J116" s="70" t="n"/>
      <c r="K116" s="70" t="n"/>
      <c r="L116" s="70" t="n"/>
    </row>
    <row r="117">
      <c r="A117" s="70" t="n"/>
      <c r="B117" s="70" t="n"/>
      <c r="C117" s="70" t="n"/>
      <c r="D117" s="70" t="n"/>
      <c r="E117" s="70" t="n"/>
      <c r="F117" s="70" t="n"/>
      <c r="G117" s="70" t="n"/>
      <c r="H117" s="70" t="n"/>
      <c r="I117" s="70" t="n"/>
      <c r="J117" s="70" t="n"/>
      <c r="K117" s="70" t="n"/>
      <c r="L117" s="70" t="n"/>
    </row>
    <row r="118">
      <c r="A118" s="70" t="n"/>
      <c r="B118" s="70" t="n"/>
      <c r="C118" s="70" t="n"/>
      <c r="D118" s="70" t="n"/>
      <c r="E118" s="70" t="n"/>
      <c r="F118" s="70" t="n"/>
      <c r="G118" s="70" t="n"/>
      <c r="H118" s="70" t="n"/>
      <c r="I118" s="70" t="n"/>
      <c r="J118" s="70" t="n"/>
      <c r="K118" s="70" t="n"/>
      <c r="L118" s="70" t="n"/>
    </row>
    <row r="119">
      <c r="A119" s="70" t="n"/>
      <c r="B119" s="70" t="n"/>
      <c r="C119" s="70" t="n"/>
      <c r="D119" s="70" t="n"/>
      <c r="E119" s="70" t="n"/>
      <c r="F119" s="70" t="n"/>
      <c r="G119" s="70" t="n"/>
      <c r="H119" s="70" t="n"/>
      <c r="I119" s="70" t="n"/>
      <c r="J119" s="70" t="n"/>
      <c r="K119" s="70" t="n"/>
      <c r="L119" s="70" t="n"/>
    </row>
    <row r="120">
      <c r="A120" s="70" t="n"/>
      <c r="B120" s="70" t="n"/>
      <c r="C120" s="70" t="n"/>
      <c r="D120" s="70" t="n"/>
      <c r="E120" s="70" t="n"/>
      <c r="F120" s="70" t="n"/>
      <c r="G120" s="70" t="n"/>
      <c r="H120" s="70" t="n"/>
      <c r="I120" s="70" t="n"/>
      <c r="J120" s="70" t="n"/>
      <c r="K120" s="70" t="n"/>
      <c r="L120" s="70" t="n"/>
    </row>
    <row r="121">
      <c r="A121" s="70" t="n"/>
      <c r="B121" s="70" t="n"/>
      <c r="C121" s="70" t="n"/>
      <c r="D121" s="70" t="n"/>
      <c r="E121" s="70" t="n"/>
      <c r="F121" s="70" t="n"/>
      <c r="G121" s="70" t="n"/>
      <c r="H121" s="70" t="n"/>
      <c r="I121" s="70" t="n"/>
      <c r="J121" s="70" t="n"/>
      <c r="K121" s="70" t="n"/>
      <c r="L121" s="70" t="n"/>
    </row>
    <row r="122">
      <c r="A122" s="70" t="n"/>
      <c r="B122" s="70" t="n"/>
      <c r="C122" s="70" t="n"/>
      <c r="D122" s="70" t="n"/>
      <c r="E122" s="70" t="n"/>
      <c r="F122" s="70" t="n"/>
      <c r="G122" s="70" t="n"/>
      <c r="H122" s="70" t="n"/>
      <c r="I122" s="70" t="n"/>
      <c r="J122" s="70" t="n"/>
      <c r="K122" s="70" t="n"/>
      <c r="L122" s="70" t="n"/>
    </row>
    <row r="123">
      <c r="A123" s="70" t="n"/>
      <c r="B123" s="70" t="n"/>
      <c r="C123" s="70" t="n"/>
      <c r="D123" s="70" t="n"/>
      <c r="E123" s="70" t="n"/>
      <c r="F123" s="70" t="n"/>
      <c r="G123" s="70" t="n"/>
      <c r="H123" s="70" t="n"/>
      <c r="I123" s="70" t="n"/>
      <c r="J123" s="70" t="n"/>
      <c r="K123" s="70" t="n"/>
      <c r="L123" s="70" t="n"/>
    </row>
    <row r="124">
      <c r="A124" s="70" t="n"/>
      <c r="B124" s="70" t="n"/>
      <c r="C124" s="70" t="n"/>
      <c r="D124" s="70" t="n"/>
      <c r="E124" s="70" t="n"/>
      <c r="F124" s="70" t="n"/>
      <c r="G124" s="70" t="n"/>
      <c r="H124" s="70" t="n"/>
      <c r="I124" s="70" t="n"/>
      <c r="J124" s="70" t="n"/>
      <c r="K124" s="70" t="n"/>
      <c r="L124" s="70" t="n"/>
    </row>
    <row r="125">
      <c r="A125" s="70" t="n"/>
      <c r="B125" s="70" t="n"/>
      <c r="C125" s="70" t="n"/>
      <c r="D125" s="70" t="n"/>
      <c r="E125" s="70" t="n"/>
      <c r="F125" s="70" t="n"/>
      <c r="G125" s="70" t="n"/>
      <c r="H125" s="70" t="n"/>
      <c r="I125" s="70" t="n"/>
      <c r="J125" s="70" t="n"/>
      <c r="K125" s="70" t="n"/>
      <c r="L125" s="70" t="n"/>
    </row>
    <row r="126">
      <c r="A126" s="70" t="n"/>
      <c r="B126" s="70" t="n"/>
      <c r="C126" s="70" t="n"/>
      <c r="D126" s="70" t="n"/>
      <c r="E126" s="70" t="n"/>
      <c r="F126" s="70" t="n"/>
      <c r="G126" s="70" t="n"/>
      <c r="H126" s="70" t="n"/>
      <c r="I126" s="70" t="n"/>
      <c r="J126" s="70" t="n"/>
      <c r="K126" s="70" t="n"/>
      <c r="L126" s="70" t="n"/>
    </row>
    <row r="127">
      <c r="A127" s="70" t="n"/>
      <c r="B127" s="70" t="n"/>
      <c r="C127" s="70" t="n"/>
      <c r="D127" s="70" t="n"/>
      <c r="E127" s="70" t="n"/>
      <c r="F127" s="70" t="n"/>
      <c r="G127" s="70" t="n"/>
      <c r="H127" s="70" t="n"/>
      <c r="I127" s="70" t="n"/>
      <c r="J127" s="70" t="n"/>
      <c r="K127" s="70" t="n"/>
      <c r="L127" s="70" t="n"/>
    </row>
    <row r="128">
      <c r="A128" s="70" t="n"/>
      <c r="B128" s="70" t="n"/>
      <c r="C128" s="70" t="n"/>
      <c r="D128" s="70" t="n"/>
      <c r="E128" s="70" t="n"/>
      <c r="F128" s="70" t="n"/>
      <c r="G128" s="70" t="n"/>
      <c r="H128" s="70" t="n"/>
      <c r="I128" s="70" t="n"/>
      <c r="J128" s="70" t="n"/>
      <c r="K128" s="70" t="n"/>
      <c r="L128" s="70" t="n"/>
    </row>
    <row r="129">
      <c r="A129" s="70" t="n"/>
      <c r="B129" s="70" t="n"/>
      <c r="C129" s="70" t="n"/>
      <c r="D129" s="70" t="n"/>
      <c r="E129" s="70" t="n"/>
      <c r="F129" s="70" t="n"/>
      <c r="G129" s="70" t="n"/>
      <c r="H129" s="70" t="n"/>
      <c r="I129" s="70" t="n"/>
      <c r="J129" s="70" t="n"/>
      <c r="K129" s="70" t="n"/>
      <c r="L129" s="70" t="n"/>
    </row>
    <row r="130">
      <c r="A130" s="70" t="n"/>
      <c r="B130" s="70" t="n"/>
      <c r="C130" s="70" t="n"/>
      <c r="D130" s="70" t="n"/>
      <c r="E130" s="70" t="n"/>
      <c r="F130" s="70" t="n"/>
      <c r="G130" s="70" t="n"/>
      <c r="H130" s="70" t="n"/>
      <c r="I130" s="70" t="n"/>
      <c r="J130" s="70" t="n"/>
      <c r="K130" s="70" t="n"/>
      <c r="L130" s="70" t="n"/>
    </row>
    <row r="131">
      <c r="A131" s="70" t="n"/>
      <c r="B131" s="70" t="n"/>
      <c r="C131" s="70" t="n"/>
      <c r="D131" s="70" t="n"/>
      <c r="E131" s="70" t="n"/>
      <c r="F131" s="70" t="n"/>
      <c r="G131" s="70" t="n"/>
      <c r="H131" s="70" t="n"/>
      <c r="I131" s="70" t="n"/>
      <c r="J131" s="70" t="n"/>
      <c r="K131" s="70" t="n"/>
      <c r="L131" s="70" t="n"/>
    </row>
    <row r="132">
      <c r="A132" s="70" t="n"/>
      <c r="B132" s="70" t="n"/>
      <c r="C132" s="70" t="n"/>
      <c r="D132" s="70" t="n"/>
      <c r="E132" s="70" t="n"/>
      <c r="F132" s="70" t="n"/>
      <c r="G132" s="70" t="n"/>
      <c r="H132" s="70" t="n"/>
      <c r="I132" s="70" t="n"/>
      <c r="J132" s="70" t="n"/>
      <c r="K132" s="70" t="n"/>
      <c r="L132" s="70" t="n"/>
    </row>
    <row r="133">
      <c r="A133" s="70" t="n"/>
      <c r="B133" s="70" t="n"/>
      <c r="C133" s="70" t="n"/>
      <c r="D133" s="70" t="n"/>
      <c r="E133" s="70" t="n"/>
      <c r="F133" s="70" t="n"/>
      <c r="G133" s="70" t="n"/>
      <c r="H133" s="70" t="n"/>
      <c r="I133" s="70" t="n"/>
      <c r="J133" s="70" t="n"/>
      <c r="K133" s="70" t="n"/>
      <c r="L133" s="70" t="n"/>
    </row>
    <row r="134">
      <c r="A134" s="70" t="n"/>
      <c r="B134" s="70" t="n"/>
      <c r="C134" s="70" t="n"/>
      <c r="D134" s="70" t="n"/>
      <c r="E134" s="70" t="n"/>
      <c r="F134" s="70" t="n"/>
      <c r="G134" s="70" t="n"/>
      <c r="H134" s="70" t="n"/>
      <c r="I134" s="70" t="n"/>
      <c r="J134" s="70" t="n"/>
      <c r="K134" s="70" t="n"/>
      <c r="L134" s="70" t="n"/>
    </row>
    <row r="135">
      <c r="A135" s="70" t="n"/>
      <c r="B135" s="70" t="n"/>
      <c r="C135" s="70" t="n"/>
      <c r="D135" s="70" t="n"/>
      <c r="E135" s="70" t="n"/>
      <c r="F135" s="70" t="n"/>
      <c r="G135" s="70" t="n"/>
      <c r="H135" s="70" t="n"/>
      <c r="I135" s="70" t="n"/>
      <c r="J135" s="70" t="n"/>
      <c r="K135" s="70" t="n"/>
      <c r="L135" s="70" t="n"/>
    </row>
    <row r="136">
      <c r="A136" s="70" t="n"/>
      <c r="B136" s="70" t="n"/>
      <c r="C136" s="70" t="n"/>
      <c r="D136" s="70" t="n"/>
      <c r="E136" s="70" t="n"/>
      <c r="F136" s="70" t="n"/>
      <c r="G136" s="70" t="n"/>
      <c r="H136" s="70" t="n"/>
      <c r="I136" s="70" t="n"/>
      <c r="J136" s="70" t="n"/>
      <c r="K136" s="70" t="n"/>
      <c r="L136" s="70" t="n"/>
    </row>
    <row r="137">
      <c r="A137" s="70" t="n"/>
      <c r="B137" s="70" t="n"/>
      <c r="C137" s="70" t="n"/>
      <c r="D137" s="70" t="n"/>
      <c r="E137" s="70" t="n"/>
      <c r="F137" s="70" t="n"/>
      <c r="G137" s="70" t="n"/>
      <c r="H137" s="70" t="n"/>
      <c r="I137" s="70" t="n"/>
      <c r="J137" s="70" t="n"/>
      <c r="K137" s="70" t="n"/>
      <c r="L137" s="70" t="n"/>
    </row>
    <row r="138">
      <c r="A138" s="70" t="n"/>
      <c r="B138" s="70" t="n"/>
      <c r="C138" s="70" t="n"/>
      <c r="D138" s="70" t="n"/>
      <c r="E138" s="70" t="n"/>
      <c r="F138" s="70" t="n"/>
      <c r="G138" s="70" t="n"/>
      <c r="H138" s="70" t="n"/>
      <c r="I138" s="70" t="n"/>
      <c r="J138" s="70" t="n"/>
      <c r="K138" s="70" t="n"/>
      <c r="L138" s="70" t="n"/>
    </row>
    <row r="139">
      <c r="A139" s="70" t="n"/>
      <c r="B139" s="70" t="n"/>
      <c r="C139" s="70" t="n"/>
      <c r="D139" s="70" t="n"/>
      <c r="E139" s="70" t="n"/>
      <c r="F139" s="70" t="n"/>
      <c r="G139" s="70" t="n"/>
      <c r="H139" s="70" t="n"/>
      <c r="I139" s="70" t="n"/>
      <c r="J139" s="70" t="n"/>
      <c r="K139" s="70" t="n"/>
      <c r="L139" s="70" t="n"/>
    </row>
    <row r="140">
      <c r="A140" s="70" t="n"/>
      <c r="B140" s="70" t="n"/>
      <c r="C140" s="70" t="n"/>
      <c r="D140" s="70" t="n"/>
      <c r="E140" s="70" t="n"/>
      <c r="F140" s="70" t="n"/>
      <c r="G140" s="70" t="n"/>
      <c r="H140" s="70" t="n"/>
      <c r="I140" s="70" t="n"/>
      <c r="J140" s="70" t="n"/>
      <c r="K140" s="70" t="n"/>
      <c r="L140" s="70" t="n"/>
    </row>
    <row r="141">
      <c r="A141" s="70" t="n"/>
      <c r="B141" s="70" t="n"/>
      <c r="C141" s="70" t="n"/>
      <c r="D141" s="70" t="n"/>
      <c r="E141" s="70" t="n"/>
      <c r="F141" s="70" t="n"/>
      <c r="G141" s="70" t="n"/>
      <c r="H141" s="70" t="n"/>
      <c r="I141" s="70" t="n"/>
      <c r="J141" s="70" t="n"/>
      <c r="K141" s="70" t="n"/>
      <c r="L141" s="70" t="n"/>
    </row>
    <row r="142">
      <c r="A142" s="70" t="n"/>
      <c r="B142" s="70" t="n"/>
      <c r="C142" s="70" t="n"/>
      <c r="D142" s="70" t="n"/>
      <c r="E142" s="70" t="n"/>
      <c r="F142" s="70" t="n"/>
      <c r="G142" s="70" t="n"/>
      <c r="H142" s="70" t="n"/>
      <c r="I142" s="70" t="n"/>
      <c r="J142" s="70" t="n"/>
      <c r="K142" s="70" t="n"/>
      <c r="L142" s="70" t="n"/>
    </row>
    <row r="143">
      <c r="A143" s="70" t="n"/>
      <c r="B143" s="70" t="n"/>
      <c r="C143" s="70" t="n"/>
      <c r="D143" s="70" t="n"/>
      <c r="E143" s="70" t="n"/>
      <c r="F143" s="70" t="n"/>
      <c r="G143" s="70" t="n"/>
      <c r="H143" s="70" t="n"/>
      <c r="I143" s="70" t="n"/>
      <c r="J143" s="70" t="n"/>
      <c r="K143" s="70" t="n"/>
      <c r="L143" s="70" t="n"/>
    </row>
    <row r="144">
      <c r="A144" s="70" t="n"/>
      <c r="B144" s="70" t="n"/>
      <c r="C144" s="70" t="n"/>
      <c r="D144" s="70" t="n"/>
      <c r="E144" s="70" t="n"/>
      <c r="F144" s="70" t="n"/>
      <c r="G144" s="70" t="n"/>
      <c r="H144" s="70" t="n"/>
      <c r="I144" s="70" t="n"/>
      <c r="J144" s="70" t="n"/>
      <c r="K144" s="70" t="n"/>
      <c r="L144" s="70" t="n"/>
    </row>
    <row r="145">
      <c r="A145" s="70" t="n"/>
      <c r="B145" s="70" t="n"/>
      <c r="C145" s="70" t="n"/>
      <c r="D145" s="70" t="n"/>
      <c r="E145" s="70" t="n"/>
      <c r="F145" s="70" t="n"/>
      <c r="G145" s="70" t="n"/>
      <c r="H145" s="70" t="n"/>
      <c r="I145" s="70" t="n"/>
      <c r="J145" s="70" t="n"/>
      <c r="K145" s="70" t="n"/>
      <c r="L145" s="70" t="n"/>
    </row>
    <row r="146">
      <c r="A146" s="70" t="n"/>
      <c r="B146" s="70" t="n"/>
      <c r="C146" s="70" t="n"/>
      <c r="D146" s="70" t="n"/>
      <c r="E146" s="70" t="n"/>
      <c r="F146" s="70" t="n"/>
      <c r="G146" s="70" t="n"/>
      <c r="H146" s="70" t="n"/>
      <c r="I146" s="70" t="n"/>
      <c r="J146" s="70" t="n"/>
      <c r="K146" s="70" t="n"/>
      <c r="L146" s="70" t="n"/>
    </row>
    <row r="147">
      <c r="A147" s="70" t="n"/>
      <c r="B147" s="70" t="n"/>
      <c r="C147" s="70" t="n"/>
      <c r="D147" s="70" t="n"/>
      <c r="E147" s="70" t="n"/>
      <c r="F147" s="70" t="n"/>
      <c r="G147" s="70" t="n"/>
      <c r="H147" s="70" t="n"/>
      <c r="I147" s="70" t="n"/>
      <c r="J147" s="70" t="n"/>
      <c r="K147" s="70" t="n"/>
      <c r="L147" s="70" t="n"/>
    </row>
    <row r="148">
      <c r="A148" s="70" t="n"/>
      <c r="B148" s="70" t="n"/>
      <c r="C148" s="70" t="n"/>
      <c r="D148" s="70" t="n"/>
      <c r="E148" s="70" t="n"/>
      <c r="F148" s="70" t="n"/>
      <c r="G148" s="70" t="n"/>
      <c r="H148" s="70" t="n"/>
      <c r="I148" s="70" t="n"/>
      <c r="J148" s="70" t="n"/>
      <c r="K148" s="70" t="n"/>
      <c r="L148" s="70" t="n"/>
    </row>
    <row r="149">
      <c r="A149" s="70" t="n"/>
      <c r="B149" s="70" t="n"/>
      <c r="C149" s="70" t="n"/>
      <c r="D149" s="70" t="n"/>
      <c r="E149" s="70" t="n"/>
      <c r="F149" s="70" t="n"/>
      <c r="G149" s="70" t="n"/>
      <c r="H149" s="70" t="n"/>
      <c r="I149" s="70" t="n"/>
      <c r="J149" s="70" t="n"/>
      <c r="K149" s="70" t="n"/>
      <c r="L149" s="70" t="n"/>
    </row>
    <row r="150">
      <c r="A150" s="70" t="n"/>
      <c r="B150" s="70" t="n"/>
      <c r="C150" s="70" t="n"/>
      <c r="D150" s="70" t="n"/>
      <c r="E150" s="70" t="n"/>
      <c r="F150" s="70" t="n"/>
      <c r="G150" s="70" t="n"/>
      <c r="H150" s="70" t="n"/>
      <c r="I150" s="70" t="n"/>
      <c r="J150" s="70" t="n"/>
      <c r="K150" s="70" t="n"/>
      <c r="L150" s="70" t="n"/>
    </row>
    <row r="151">
      <c r="A151" s="70" t="n"/>
      <c r="B151" s="70" t="n"/>
      <c r="C151" s="70" t="n"/>
      <c r="D151" s="70" t="n"/>
      <c r="E151" s="70" t="n"/>
      <c r="F151" s="70" t="n"/>
      <c r="G151" s="70" t="n"/>
      <c r="H151" s="70" t="n"/>
      <c r="I151" s="70" t="n"/>
      <c r="J151" s="70" t="n"/>
      <c r="K151" s="70" t="n"/>
      <c r="L151" s="70" t="n"/>
    </row>
    <row r="152">
      <c r="A152" s="70" t="n"/>
      <c r="B152" s="70" t="n"/>
      <c r="C152" s="70" t="n"/>
      <c r="D152" s="70" t="n"/>
      <c r="E152" s="70" t="n"/>
      <c r="F152" s="70" t="n"/>
      <c r="G152" s="70" t="n"/>
      <c r="H152" s="70" t="n"/>
      <c r="I152" s="70" t="n"/>
      <c r="J152" s="70" t="n"/>
      <c r="K152" s="70" t="n"/>
      <c r="L152" s="70" t="n"/>
    </row>
    <row r="153">
      <c r="A153" s="70" t="n"/>
      <c r="B153" s="70" t="n"/>
      <c r="C153" s="70" t="n"/>
      <c r="D153" s="70" t="n"/>
      <c r="E153" s="70" t="n"/>
      <c r="F153" s="70" t="n"/>
      <c r="G153" s="70" t="n"/>
      <c r="H153" s="70" t="n"/>
      <c r="I153" s="70" t="n"/>
      <c r="J153" s="70" t="n"/>
      <c r="K153" s="70" t="n"/>
      <c r="L153" s="70" t="n"/>
    </row>
    <row r="154">
      <c r="A154" s="70" t="n"/>
      <c r="B154" s="70" t="n"/>
      <c r="C154" s="70" t="n"/>
      <c r="D154" s="70" t="n"/>
      <c r="E154" s="70" t="n"/>
      <c r="F154" s="70" t="n"/>
      <c r="G154" s="70" t="n"/>
      <c r="H154" s="70" t="n"/>
      <c r="I154" s="70" t="n"/>
      <c r="J154" s="70" t="n"/>
      <c r="K154" s="70" t="n"/>
      <c r="L154" s="70" t="n"/>
    </row>
    <row r="155">
      <c r="A155" s="70" t="n"/>
      <c r="B155" s="70" t="n"/>
      <c r="C155" s="70" t="n"/>
      <c r="D155" s="70" t="n"/>
      <c r="E155" s="70" t="n"/>
      <c r="F155" s="70" t="n"/>
      <c r="G155" s="70" t="n"/>
      <c r="H155" s="70" t="n"/>
      <c r="I155" s="70" t="n"/>
      <c r="J155" s="70" t="n"/>
      <c r="K155" s="70" t="n"/>
      <c r="L155" s="70" t="n"/>
    </row>
    <row r="156">
      <c r="A156" s="70" t="n"/>
      <c r="B156" s="70" t="n"/>
      <c r="C156" s="70" t="n"/>
      <c r="D156" s="70" t="n"/>
      <c r="E156" s="70" t="n"/>
      <c r="F156" s="70" t="n"/>
      <c r="G156" s="70" t="n"/>
      <c r="H156" s="70" t="n"/>
      <c r="I156" s="70" t="n"/>
      <c r="J156" s="70" t="n"/>
      <c r="K156" s="70" t="n"/>
      <c r="L156" s="70" t="n"/>
    </row>
    <row r="157">
      <c r="A157" s="70" t="n"/>
      <c r="B157" s="70" t="n"/>
      <c r="C157" s="70" t="n"/>
      <c r="D157" s="70" t="n"/>
      <c r="E157" s="70" t="n"/>
      <c r="F157" s="70" t="n"/>
      <c r="G157" s="70" t="n"/>
      <c r="H157" s="70" t="n"/>
      <c r="I157" s="70" t="n"/>
      <c r="J157" s="70" t="n"/>
      <c r="K157" s="70" t="n"/>
      <c r="L157" s="70" t="n"/>
    </row>
    <row r="158">
      <c r="A158" s="70" t="n"/>
      <c r="B158" s="70" t="n"/>
      <c r="C158" s="70" t="n"/>
      <c r="D158" s="70" t="n"/>
      <c r="E158" s="70" t="n"/>
      <c r="F158" s="70" t="n"/>
      <c r="G158" s="70" t="n"/>
      <c r="H158" s="70" t="n"/>
      <c r="I158" s="70" t="n"/>
      <c r="J158" s="70" t="n"/>
      <c r="K158" s="70" t="n"/>
      <c r="L158" s="70" t="n"/>
    </row>
    <row r="159">
      <c r="A159" s="70" t="n"/>
      <c r="B159" s="70" t="n"/>
      <c r="C159" s="70" t="n"/>
      <c r="D159" s="70" t="n"/>
      <c r="E159" s="70" t="n"/>
      <c r="F159" s="70" t="n"/>
      <c r="G159" s="70" t="n"/>
      <c r="H159" s="70" t="n"/>
      <c r="I159" s="70" t="n"/>
      <c r="J159" s="70" t="n"/>
      <c r="K159" s="70" t="n"/>
      <c r="L159" s="70" t="n"/>
    </row>
    <row r="160">
      <c r="A160" s="70" t="n"/>
      <c r="B160" s="70" t="n"/>
      <c r="C160" s="70" t="n"/>
      <c r="D160" s="70" t="n"/>
      <c r="E160" s="70" t="n"/>
      <c r="F160" s="70" t="n"/>
      <c r="G160" s="70" t="n"/>
      <c r="H160" s="70" t="n"/>
      <c r="I160" s="70" t="n"/>
      <c r="J160" s="70" t="n"/>
      <c r="K160" s="70" t="n"/>
      <c r="L160" s="70" t="n"/>
    </row>
    <row r="161">
      <c r="A161" s="70" t="n"/>
      <c r="B161" s="70" t="n"/>
      <c r="C161" s="70" t="n"/>
      <c r="D161" s="70" t="n"/>
      <c r="E161" s="70" t="n"/>
      <c r="F161" s="70" t="n"/>
      <c r="G161" s="70" t="n"/>
      <c r="H161" s="70" t="n"/>
      <c r="I161" s="70" t="n"/>
      <c r="J161" s="70" t="n"/>
      <c r="K161" s="70" t="n"/>
      <c r="L161" s="70" t="n"/>
    </row>
    <row r="162">
      <c r="A162" s="70" t="n"/>
      <c r="B162" s="70" t="n"/>
      <c r="C162" s="70" t="n"/>
      <c r="D162" s="70" t="n"/>
      <c r="E162" s="70" t="n"/>
      <c r="F162" s="70" t="n"/>
      <c r="G162" s="70" t="n"/>
      <c r="H162" s="70" t="n"/>
      <c r="I162" s="70" t="n"/>
      <c r="J162" s="70" t="n"/>
      <c r="K162" s="70" t="n"/>
      <c r="L162" s="70" t="n"/>
    </row>
    <row r="163">
      <c r="A163" s="70" t="n"/>
      <c r="B163" s="70" t="n"/>
      <c r="C163" s="70" t="n"/>
      <c r="D163" s="70" t="n"/>
      <c r="E163" s="70" t="n"/>
      <c r="F163" s="70" t="n"/>
      <c r="G163" s="70" t="n"/>
      <c r="H163" s="70" t="n"/>
      <c r="I163" s="70" t="n"/>
      <c r="J163" s="70" t="n"/>
      <c r="K163" s="70" t="n"/>
      <c r="L163" s="70" t="n"/>
    </row>
    <row r="164">
      <c r="A164" s="70" t="n"/>
      <c r="B164" s="70" t="n"/>
      <c r="C164" s="70" t="n"/>
      <c r="D164" s="70" t="n"/>
      <c r="E164" s="70" t="n"/>
      <c r="F164" s="70" t="n"/>
      <c r="G164" s="70" t="n"/>
      <c r="H164" s="70" t="n"/>
      <c r="I164" s="70" t="n"/>
      <c r="J164" s="70" t="n"/>
      <c r="K164" s="70" t="n"/>
      <c r="L164" s="70" t="n"/>
    </row>
    <row r="165">
      <c r="A165" s="70" t="n"/>
      <c r="B165" s="70" t="n"/>
      <c r="C165" s="70" t="n"/>
      <c r="D165" s="70" t="n"/>
      <c r="E165" s="70" t="n"/>
      <c r="F165" s="70" t="n"/>
      <c r="G165" s="70" t="n"/>
      <c r="H165" s="70" t="n"/>
      <c r="I165" s="70" t="n"/>
      <c r="J165" s="70" t="n"/>
      <c r="K165" s="70" t="n"/>
      <c r="L165" s="70" t="n"/>
    </row>
    <row r="166">
      <c r="A166" s="70" t="n"/>
      <c r="B166" s="70" t="n"/>
      <c r="C166" s="70" t="n"/>
      <c r="D166" s="70" t="n"/>
      <c r="E166" s="70" t="n"/>
      <c r="F166" s="70" t="n"/>
      <c r="G166" s="70" t="n"/>
      <c r="H166" s="70" t="n"/>
      <c r="I166" s="70" t="n"/>
      <c r="J166" s="70" t="n"/>
      <c r="K166" s="70" t="n"/>
      <c r="L166" s="70" t="n"/>
    </row>
    <row r="167">
      <c r="A167" s="70" t="n"/>
      <c r="B167" s="70" t="n"/>
      <c r="C167" s="70" t="n"/>
      <c r="D167" s="70" t="n"/>
      <c r="E167" s="70" t="n"/>
      <c r="F167" s="70" t="n"/>
      <c r="G167" s="70" t="n"/>
      <c r="H167" s="70" t="n"/>
      <c r="I167" s="70" t="n"/>
      <c r="J167" s="70" t="n"/>
      <c r="K167" s="70" t="n"/>
      <c r="L167" s="70" t="n"/>
    </row>
    <row r="168">
      <c r="A168" s="70" t="n"/>
      <c r="B168" s="70" t="n"/>
      <c r="C168" s="70" t="n"/>
      <c r="D168" s="70" t="n"/>
      <c r="E168" s="70" t="n"/>
      <c r="F168" s="70" t="n"/>
      <c r="G168" s="70" t="n"/>
      <c r="H168" s="70" t="n"/>
      <c r="I168" s="70" t="n"/>
      <c r="J168" s="70" t="n"/>
      <c r="K168" s="70" t="n"/>
      <c r="L168" s="70" t="n"/>
    </row>
    <row r="169">
      <c r="A169" s="70" t="n"/>
      <c r="B169" s="70" t="n"/>
      <c r="C169" s="70" t="n"/>
      <c r="D169" s="70" t="n"/>
      <c r="E169" s="70" t="n"/>
      <c r="F169" s="70" t="n"/>
      <c r="G169" s="70" t="n"/>
      <c r="H169" s="70" t="n"/>
      <c r="I169" s="70" t="n"/>
      <c r="J169" s="70" t="n"/>
      <c r="K169" s="70" t="n"/>
      <c r="L169" s="70" t="n"/>
    </row>
    <row r="170">
      <c r="A170" s="70" t="n"/>
      <c r="B170" s="70" t="n"/>
      <c r="C170" s="70" t="n"/>
      <c r="D170" s="70" t="n"/>
      <c r="E170" s="70" t="n"/>
      <c r="F170" s="70" t="n"/>
      <c r="G170" s="70" t="n"/>
      <c r="H170" s="70" t="n"/>
      <c r="I170" s="70" t="n"/>
      <c r="J170" s="70" t="n"/>
      <c r="K170" s="70" t="n"/>
      <c r="L170" s="70" t="n"/>
    </row>
    <row r="171">
      <c r="A171" s="70" t="n"/>
      <c r="B171" s="70" t="n"/>
      <c r="C171" s="70" t="n"/>
      <c r="D171" s="70" t="n"/>
      <c r="E171" s="70" t="n"/>
      <c r="F171" s="70" t="n"/>
      <c r="G171" s="70" t="n"/>
      <c r="H171" s="70" t="n"/>
      <c r="I171" s="70" t="n"/>
      <c r="J171" s="70" t="n"/>
      <c r="K171" s="70" t="n"/>
      <c r="L171" s="70" t="n"/>
    </row>
    <row r="172">
      <c r="A172" s="70" t="n"/>
      <c r="B172" s="70" t="n"/>
      <c r="C172" s="70" t="n"/>
      <c r="D172" s="70" t="n"/>
      <c r="E172" s="70" t="n"/>
      <c r="F172" s="70" t="n"/>
      <c r="G172" s="70" t="n"/>
      <c r="H172" s="70" t="n"/>
      <c r="I172" s="70" t="n"/>
      <c r="J172" s="70" t="n"/>
      <c r="K172" s="70" t="n"/>
      <c r="L172" s="70" t="n"/>
    </row>
    <row r="173">
      <c r="A173" s="70" t="n"/>
      <c r="B173" s="70" t="n"/>
      <c r="C173" s="70" t="n"/>
      <c r="D173" s="70" t="n"/>
      <c r="E173" s="70" t="n"/>
      <c r="F173" s="70" t="n"/>
      <c r="G173" s="70" t="n"/>
      <c r="H173" s="70" t="n"/>
      <c r="I173" s="70" t="n"/>
      <c r="J173" s="70" t="n"/>
      <c r="K173" s="70" t="n"/>
      <c r="L173" s="70" t="n"/>
    </row>
    <row r="174">
      <c r="A174" s="70" t="n"/>
      <c r="B174" s="70" t="n"/>
      <c r="C174" s="70" t="n"/>
      <c r="D174" s="70" t="n"/>
      <c r="E174" s="70" t="n"/>
      <c r="F174" s="70" t="n"/>
      <c r="G174" s="70" t="n"/>
      <c r="H174" s="70" t="n"/>
      <c r="I174" s="70" t="n"/>
      <c r="J174" s="70" t="n"/>
      <c r="K174" s="70" t="n"/>
      <c r="L174" s="70" t="n"/>
    </row>
    <row r="175">
      <c r="A175" s="70" t="n"/>
      <c r="B175" s="70" t="n"/>
      <c r="C175" s="70" t="n"/>
      <c r="D175" s="70" t="n"/>
      <c r="E175" s="70" t="n"/>
      <c r="F175" s="70" t="n"/>
      <c r="G175" s="70" t="n"/>
      <c r="H175" s="70" t="n"/>
      <c r="I175" s="70" t="n"/>
      <c r="J175" s="70" t="n"/>
      <c r="K175" s="70" t="n"/>
      <c r="L175" s="70" t="n"/>
    </row>
    <row r="176">
      <c r="A176" s="70" t="n"/>
      <c r="B176" s="70" t="n"/>
      <c r="C176" s="70" t="n"/>
      <c r="D176" s="70" t="n"/>
      <c r="E176" s="70" t="n"/>
      <c r="F176" s="70" t="n"/>
      <c r="G176" s="70" t="n"/>
      <c r="H176" s="70" t="n"/>
      <c r="I176" s="70" t="n"/>
      <c r="J176" s="70" t="n"/>
      <c r="K176" s="70" t="n"/>
      <c r="L176" s="70" t="n"/>
    </row>
    <row r="177">
      <c r="A177" s="70" t="n"/>
      <c r="B177" s="70" t="n"/>
      <c r="C177" s="70" t="n"/>
      <c r="D177" s="70" t="n"/>
      <c r="E177" s="70" t="n"/>
      <c r="F177" s="70" t="n"/>
      <c r="G177" s="70" t="n"/>
      <c r="H177" s="70" t="n"/>
      <c r="I177" s="70" t="n"/>
      <c r="J177" s="70" t="n"/>
      <c r="K177" s="70" t="n"/>
      <c r="L177" s="70" t="n"/>
    </row>
    <row r="178">
      <c r="A178" s="70" t="n"/>
      <c r="B178" s="70" t="n"/>
      <c r="C178" s="70" t="n"/>
      <c r="D178" s="70" t="n"/>
      <c r="E178" s="70" t="n"/>
      <c r="F178" s="70" t="n"/>
      <c r="G178" s="70" t="n"/>
      <c r="H178" s="70" t="n"/>
      <c r="I178" s="70" t="n"/>
      <c r="J178" s="70" t="n"/>
      <c r="K178" s="70" t="n"/>
      <c r="L178" s="70" t="n"/>
    </row>
    <row r="179">
      <c r="A179" s="70" t="n"/>
      <c r="B179" s="70" t="n"/>
      <c r="C179" s="70" t="n"/>
      <c r="D179" s="70" t="n"/>
      <c r="E179" s="70" t="n"/>
      <c r="F179" s="70" t="n"/>
      <c r="G179" s="70" t="n"/>
      <c r="H179" s="70" t="n"/>
      <c r="I179" s="70" t="n"/>
      <c r="J179" s="70" t="n"/>
      <c r="K179" s="70" t="n"/>
      <c r="L179" s="70" t="n"/>
    </row>
    <row r="180">
      <c r="A180" s="70" t="n"/>
      <c r="B180" s="70" t="n"/>
      <c r="C180" s="70" t="n"/>
      <c r="D180" s="70" t="n"/>
      <c r="E180" s="70" t="n"/>
      <c r="F180" s="70" t="n"/>
      <c r="G180" s="70" t="n"/>
      <c r="H180" s="70" t="n"/>
      <c r="I180" s="70" t="n"/>
      <c r="J180" s="70" t="n"/>
      <c r="K180" s="70" t="n"/>
      <c r="L180" s="70" t="n"/>
    </row>
    <row r="181">
      <c r="A181" s="70" t="n"/>
      <c r="B181" s="70" t="n"/>
      <c r="C181" s="70" t="n"/>
      <c r="D181" s="70" t="n"/>
      <c r="E181" s="70" t="n"/>
      <c r="F181" s="70" t="n"/>
      <c r="G181" s="70" t="n"/>
      <c r="H181" s="70" t="n"/>
      <c r="I181" s="70" t="n"/>
      <c r="J181" s="70" t="n"/>
      <c r="K181" s="70" t="n"/>
      <c r="L181" s="70" t="n"/>
    </row>
    <row r="182">
      <c r="A182" s="70" t="n"/>
      <c r="B182" s="70" t="n"/>
      <c r="C182" s="70" t="n"/>
      <c r="D182" s="70" t="n"/>
      <c r="E182" s="70" t="n"/>
      <c r="F182" s="70" t="n"/>
      <c r="G182" s="70" t="n"/>
      <c r="H182" s="70" t="n"/>
      <c r="I182" s="70" t="n"/>
      <c r="J182" s="70" t="n"/>
      <c r="K182" s="70" t="n"/>
      <c r="L182" s="70" t="n"/>
    </row>
    <row r="183">
      <c r="A183" s="70" t="n"/>
      <c r="B183" s="70" t="n"/>
      <c r="C183" s="70" t="n"/>
      <c r="D183" s="70" t="n"/>
      <c r="E183" s="70" t="n"/>
      <c r="F183" s="70" t="n"/>
      <c r="G183" s="70" t="n"/>
      <c r="H183" s="70" t="n"/>
      <c r="I183" s="70" t="n"/>
      <c r="J183" s="70" t="n"/>
      <c r="K183" s="70" t="n"/>
      <c r="L183" s="70" t="n"/>
    </row>
    <row r="184">
      <c r="A184" s="70" t="n"/>
      <c r="B184" s="70" t="n"/>
      <c r="C184" s="70" t="n"/>
      <c r="D184" s="70" t="n"/>
      <c r="E184" s="70" t="n"/>
      <c r="F184" s="70" t="n"/>
      <c r="G184" s="70" t="n"/>
      <c r="H184" s="70" t="n"/>
      <c r="I184" s="70" t="n"/>
      <c r="J184" s="70" t="n"/>
      <c r="K184" s="70" t="n"/>
      <c r="L184" s="70" t="n"/>
    </row>
    <row r="185">
      <c r="A185" s="70" t="n"/>
      <c r="B185" s="70" t="n"/>
      <c r="C185" s="70" t="n"/>
      <c r="D185" s="70" t="n"/>
      <c r="E185" s="70" t="n"/>
      <c r="F185" s="70" t="n"/>
      <c r="G185" s="70" t="n"/>
      <c r="H185" s="70" t="n"/>
      <c r="I185" s="70" t="n"/>
      <c r="J185" s="70" t="n"/>
      <c r="K185" s="70" t="n"/>
      <c r="L185" s="70" t="n"/>
    </row>
    <row r="186">
      <c r="A186" s="70" t="n"/>
      <c r="B186" s="70" t="n"/>
      <c r="C186" s="70" t="n"/>
      <c r="D186" s="70" t="n"/>
      <c r="E186" s="70" t="n"/>
      <c r="F186" s="70" t="n"/>
      <c r="G186" s="70" t="n"/>
      <c r="H186" s="70" t="n"/>
      <c r="I186" s="70" t="n"/>
      <c r="J186" s="70" t="n"/>
      <c r="K186" s="70" t="n"/>
      <c r="L186" s="70" t="n"/>
    </row>
    <row r="187">
      <c r="A187" s="70" t="n"/>
      <c r="B187" s="70" t="n"/>
      <c r="C187" s="70" t="n"/>
      <c r="D187" s="70" t="n"/>
      <c r="E187" s="70" t="n"/>
      <c r="F187" s="70" t="n"/>
      <c r="G187" s="70" t="n"/>
      <c r="H187" s="70" t="n"/>
      <c r="I187" s="70" t="n"/>
      <c r="J187" s="70" t="n"/>
      <c r="K187" s="70" t="n"/>
      <c r="L187" s="70" t="n"/>
    </row>
    <row r="188">
      <c r="A188" s="70" t="n"/>
      <c r="B188" s="70" t="n"/>
      <c r="C188" s="70" t="n"/>
      <c r="D188" s="70" t="n"/>
      <c r="E188" s="70" t="n"/>
      <c r="F188" s="70" t="n"/>
      <c r="G188" s="70" t="n"/>
      <c r="H188" s="70" t="n"/>
      <c r="I188" s="70" t="n"/>
      <c r="J188" s="70" t="n"/>
      <c r="K188" s="70" t="n"/>
      <c r="L188" s="70" t="n"/>
    </row>
    <row r="189">
      <c r="A189" s="70" t="n"/>
      <c r="B189" s="70" t="n"/>
      <c r="C189" s="70" t="n"/>
      <c r="D189" s="70" t="n"/>
      <c r="E189" s="70" t="n"/>
      <c r="F189" s="70" t="n"/>
      <c r="G189" s="70" t="n"/>
      <c r="H189" s="70" t="n"/>
      <c r="I189" s="70" t="n"/>
      <c r="J189" s="70" t="n"/>
      <c r="K189" s="70" t="n"/>
      <c r="L189" s="70" t="n"/>
    </row>
    <row r="190">
      <c r="A190" s="70" t="n"/>
      <c r="B190" s="70" t="n"/>
      <c r="C190" s="70" t="n"/>
      <c r="D190" s="70" t="n"/>
      <c r="E190" s="70" t="n"/>
      <c r="F190" s="70" t="n"/>
      <c r="G190" s="70" t="n"/>
      <c r="H190" s="70" t="n"/>
      <c r="I190" s="70" t="n"/>
      <c r="J190" s="70" t="n"/>
      <c r="K190" s="70" t="n"/>
      <c r="L190" s="70" t="n"/>
    </row>
    <row r="191">
      <c r="A191" s="70" t="n"/>
      <c r="B191" s="70" t="n"/>
      <c r="C191" s="70" t="n"/>
      <c r="D191" s="70" t="n"/>
      <c r="E191" s="70" t="n"/>
      <c r="F191" s="70" t="n"/>
      <c r="G191" s="70" t="n"/>
      <c r="H191" s="70" t="n"/>
      <c r="I191" s="70" t="n"/>
      <c r="J191" s="70" t="n"/>
      <c r="K191" s="70" t="n"/>
      <c r="L191" s="70" t="n"/>
    </row>
    <row r="192">
      <c r="A192" s="70" t="n"/>
      <c r="B192" s="70" t="n"/>
      <c r="C192" s="70" t="n"/>
      <c r="D192" s="70" t="n"/>
      <c r="E192" s="70" t="n"/>
      <c r="F192" s="70" t="n"/>
      <c r="G192" s="70" t="n"/>
      <c r="H192" s="70" t="n"/>
      <c r="I192" s="70" t="n"/>
      <c r="J192" s="70" t="n"/>
      <c r="K192" s="70" t="n"/>
      <c r="L192" s="70" t="n"/>
    </row>
    <row r="193">
      <c r="A193" s="70" t="n"/>
      <c r="B193" s="70" t="n"/>
      <c r="C193" s="70" t="n"/>
      <c r="D193" s="70" t="n"/>
      <c r="E193" s="70" t="n"/>
      <c r="F193" s="70" t="n"/>
      <c r="G193" s="70" t="n"/>
      <c r="H193" s="70" t="n"/>
      <c r="I193" s="70" t="n"/>
      <c r="J193" s="70" t="n"/>
      <c r="K193" s="70" t="n"/>
      <c r="L193" s="70" t="n"/>
    </row>
    <row r="194">
      <c r="A194" s="70" t="n"/>
      <c r="B194" s="70" t="n"/>
      <c r="C194" s="70" t="n"/>
      <c r="D194" s="70" t="n"/>
      <c r="E194" s="70" t="n"/>
      <c r="F194" s="70" t="n"/>
      <c r="G194" s="70" t="n"/>
      <c r="H194" s="70" t="n"/>
      <c r="I194" s="70" t="n"/>
      <c r="J194" s="70" t="n"/>
      <c r="K194" s="70" t="n"/>
      <c r="L194" s="70" t="n"/>
    </row>
    <row r="195">
      <c r="A195" s="70" t="n"/>
      <c r="B195" s="70" t="n"/>
      <c r="C195" s="70" t="n"/>
      <c r="D195" s="70" t="n"/>
      <c r="E195" s="70" t="n"/>
      <c r="F195" s="70" t="n"/>
      <c r="G195" s="70" t="n"/>
      <c r="H195" s="70" t="n"/>
      <c r="I195" s="70" t="n"/>
      <c r="J195" s="70" t="n"/>
      <c r="K195" s="70" t="n"/>
      <c r="L195" s="70" t="n"/>
    </row>
    <row r="196">
      <c r="A196" s="70" t="n"/>
      <c r="B196" s="70" t="n"/>
      <c r="C196" s="70" t="n"/>
      <c r="D196" s="70" t="n"/>
      <c r="E196" s="70" t="n"/>
      <c r="F196" s="70" t="n"/>
      <c r="G196" s="70" t="n"/>
      <c r="H196" s="70" t="n"/>
      <c r="I196" s="70" t="n"/>
      <c r="J196" s="70" t="n"/>
      <c r="K196" s="70" t="n"/>
      <c r="L196" s="70" t="n"/>
    </row>
    <row r="197">
      <c r="A197" s="70" t="n"/>
      <c r="B197" s="70" t="n"/>
      <c r="C197" s="70" t="n"/>
      <c r="D197" s="70" t="n"/>
      <c r="E197" s="70" t="n"/>
      <c r="F197" s="70" t="n"/>
      <c r="G197" s="70" t="n"/>
      <c r="H197" s="70" t="n"/>
      <c r="I197" s="70" t="n"/>
      <c r="J197" s="70" t="n"/>
      <c r="K197" s="70" t="n"/>
      <c r="L197" s="70" t="n"/>
    </row>
    <row r="198">
      <c r="A198" s="70" t="n"/>
      <c r="B198" s="70" t="n"/>
      <c r="C198" s="70" t="n"/>
      <c r="D198" s="70" t="n"/>
      <c r="E198" s="70" t="n"/>
      <c r="F198" s="70" t="n"/>
      <c r="G198" s="70" t="n"/>
      <c r="H198" s="70" t="n"/>
      <c r="I198" s="70" t="n"/>
      <c r="J198" s="70" t="n"/>
      <c r="K198" s="70" t="n"/>
      <c r="L198" s="70" t="n"/>
    </row>
    <row r="199">
      <c r="A199" s="70" t="n"/>
      <c r="B199" s="70" t="n"/>
      <c r="C199" s="70" t="n"/>
      <c r="D199" s="70" t="n"/>
      <c r="E199" s="70" t="n"/>
      <c r="F199" s="70" t="n"/>
      <c r="G199" s="70" t="n"/>
      <c r="H199" s="70" t="n"/>
      <c r="I199" s="70" t="n"/>
      <c r="J199" s="70" t="n"/>
      <c r="K199" s="70" t="n"/>
      <c r="L199" s="70" t="n"/>
    </row>
    <row r="200">
      <c r="A200" s="70" t="n"/>
      <c r="B200" s="70" t="n"/>
      <c r="C200" s="70" t="n"/>
      <c r="D200" s="70" t="n"/>
      <c r="E200" s="70" t="n"/>
      <c r="F200" s="70" t="n"/>
      <c r="G200" s="70" t="n"/>
      <c r="H200" s="70" t="n"/>
      <c r="I200" s="70" t="n"/>
      <c r="J200" s="70" t="n"/>
      <c r="K200" s="70" t="n"/>
      <c r="L200" s="70" t="n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2026-06-02T09:51:57Z</dcterms:created>
  <dcterms:modified xsi:type="dcterms:W3CDTF">2026-06-11T09:17:01Z</dcterms:modified>
</cp:coreProperties>
</file>